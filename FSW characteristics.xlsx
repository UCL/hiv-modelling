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veleen\Documents\GitHub\hiv-modelling\"/>
    </mc:Choice>
  </mc:AlternateContent>
  <xr:revisionPtr revIDLastSave="0" documentId="8_{7F6BC554-6D1A-4754-B953-4C740CDC87EC}" xr6:coauthVersionLast="47" xr6:coauthVersionMax="47" xr10:uidLastSave="{00000000-0000-0000-0000-000000000000}"/>
  <bookViews>
    <workbookView xWindow="-90" yWindow="-90" windowWidth="19380" windowHeight="11460" activeTab="1" xr2:uid="{F092BB82-033B-4CB9-BD3B-04613BC11C15}"/>
  </bookViews>
  <sheets>
    <sheet name="raw" sheetId="1" r:id="rId1"/>
    <sheet name="clean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8" i="1" l="1"/>
  <c r="D3" i="2" s="1"/>
  <c r="H4" i="1"/>
  <c r="C5" i="2" s="1"/>
  <c r="H5" i="1"/>
  <c r="C6" i="2" s="1"/>
  <c r="H6" i="1"/>
  <c r="C7" i="2" s="1"/>
  <c r="H7" i="1"/>
  <c r="C8" i="2" s="1"/>
  <c r="H8" i="1"/>
  <c r="C9" i="2" s="1"/>
  <c r="H9" i="1"/>
  <c r="C10" i="2" s="1"/>
  <c r="H10" i="1"/>
  <c r="C11" i="2" s="1"/>
  <c r="H11" i="1"/>
  <c r="C12" i="2" s="1"/>
  <c r="H12" i="1"/>
  <c r="C13" i="2" s="1"/>
  <c r="H13" i="1"/>
  <c r="C14" i="2" s="1"/>
  <c r="H14" i="1"/>
  <c r="C15" i="2" s="1"/>
  <c r="H15" i="1"/>
  <c r="C16" i="2" s="1"/>
  <c r="H16" i="1"/>
  <c r="C17" i="2" s="1"/>
  <c r="H17" i="1"/>
  <c r="C18" i="2" s="1"/>
  <c r="H18" i="1"/>
  <c r="C19" i="2" s="1"/>
  <c r="H19" i="1"/>
  <c r="C20" i="2" s="1"/>
  <c r="H20" i="1"/>
  <c r="C21" i="2" s="1"/>
  <c r="H21" i="1"/>
  <c r="C22" i="2" s="1"/>
  <c r="H22" i="1"/>
  <c r="C23" i="2" s="1"/>
  <c r="H23" i="1"/>
  <c r="C24" i="2" s="1"/>
  <c r="H24" i="1"/>
  <c r="C25" i="2" s="1"/>
  <c r="H25" i="1"/>
  <c r="C26" i="2" s="1"/>
  <c r="H26" i="1"/>
  <c r="C27" i="2" s="1"/>
  <c r="H27" i="1"/>
  <c r="C28" i="2" s="1"/>
  <c r="H29" i="1"/>
  <c r="D4" i="2" s="1"/>
  <c r="H30" i="1"/>
  <c r="D5" i="2" s="1"/>
  <c r="H31" i="1"/>
  <c r="D6" i="2" s="1"/>
  <c r="H32" i="1"/>
  <c r="D7" i="2" s="1"/>
  <c r="H33" i="1"/>
  <c r="D8" i="2" s="1"/>
  <c r="H34" i="1"/>
  <c r="D9" i="2" s="1"/>
  <c r="H35" i="1"/>
  <c r="D10" i="2" s="1"/>
  <c r="H36" i="1"/>
  <c r="D11" i="2" s="1"/>
  <c r="H37" i="1"/>
  <c r="D12" i="2" s="1"/>
  <c r="H38" i="1"/>
  <c r="D13" i="2" s="1"/>
  <c r="H39" i="1"/>
  <c r="D14" i="2" s="1"/>
  <c r="H40" i="1"/>
  <c r="D15" i="2" s="1"/>
  <c r="H41" i="1"/>
  <c r="D16" i="2" s="1"/>
  <c r="H42" i="1"/>
  <c r="D17" i="2" s="1"/>
  <c r="H43" i="1"/>
  <c r="D18" i="2" s="1"/>
  <c r="H44" i="1"/>
  <c r="D19" i="2" s="1"/>
  <c r="H45" i="1"/>
  <c r="D20" i="2" s="1"/>
  <c r="H46" i="1"/>
  <c r="D21" i="2" s="1"/>
  <c r="H47" i="1"/>
  <c r="D22" i="2" s="1"/>
  <c r="H48" i="1"/>
  <c r="D23" i="2" s="1"/>
  <c r="H49" i="1"/>
  <c r="D24" i="2" s="1"/>
  <c r="H50" i="1"/>
  <c r="D25" i="2" s="1"/>
  <c r="H51" i="1"/>
  <c r="D26" i="2" s="1"/>
  <c r="H52" i="1"/>
  <c r="D27" i="2" s="1"/>
  <c r="H53" i="1"/>
  <c r="D28" i="2" s="1"/>
  <c r="H3" i="1"/>
  <c r="C4" i="2" s="1"/>
  <c r="H2" i="1"/>
  <c r="C3" i="2" s="1"/>
</calcChain>
</file>

<file path=xl/sharedStrings.xml><?xml version="1.0" encoding="utf-8"?>
<sst xmlns="http://schemas.openxmlformats.org/spreadsheetml/2006/main" count="168" uniqueCount="115">
  <si>
    <t>_sw_1549__26</t>
  </si>
  <si>
    <t>prop_w_1549_sw_26</t>
  </si>
  <si>
    <t>prop_w_ever_sw_26</t>
  </si>
  <si>
    <t>act_dur_sw_26</t>
  </si>
  <si>
    <t>p_sw_age1519__26</t>
  </si>
  <si>
    <t>p_sw_age2024__26</t>
  </si>
  <si>
    <t>p_sw_age2529__26</t>
  </si>
  <si>
    <t>p_sw_age3039__26</t>
  </si>
  <si>
    <t>p_sw_age40pl__26</t>
  </si>
  <si>
    <t>p_age_deb_sw1519__26</t>
  </si>
  <si>
    <t>p_age_deb_sw2029__26</t>
  </si>
  <si>
    <t>p_age_deb_sw3039__26</t>
  </si>
  <si>
    <t>p_age_deb_sw40pl__26</t>
  </si>
  <si>
    <t>p_totdur_0to3_sw_26</t>
  </si>
  <si>
    <t>p_totdur_3to5_sw_26</t>
  </si>
  <si>
    <t>p_totdur_6to9_sw_26</t>
  </si>
  <si>
    <t>p_totdur_10to19_sw_26</t>
  </si>
  <si>
    <t>p_fsw_newp0__26</t>
  </si>
  <si>
    <t>prop_sw_onprep_26</t>
  </si>
  <si>
    <t>p_sti_sw_26</t>
  </si>
  <si>
    <t>incidence_sw_26</t>
  </si>
  <si>
    <t>prevalence_sw_26</t>
  </si>
  <si>
    <t>p_diag_sw_26</t>
  </si>
  <si>
    <t>p_onart_diag_sw_26</t>
  </si>
  <si>
    <t>p_onart_vl1000_sw_26</t>
  </si>
  <si>
    <t>p_sw_prog_vis_26</t>
  </si>
  <si>
    <t>'</t>
  </si>
  <si>
    <t>Runs</t>
  </si>
  <si>
    <t>Median</t>
  </si>
  <si>
    <t>Mean</t>
  </si>
  <si>
    <t>5th centile</t>
  </si>
  <si>
    <t>95th centile</t>
  </si>
  <si>
    <t>Number of all women who are currently SW/ESW</t>
  </si>
  <si>
    <t>Proportion of all women who have ever been SW/ESW</t>
  </si>
  <si>
    <t>Proportion of all women who are currently SW/ ESW</t>
  </si>
  <si>
    <t>Active duration of sex work</t>
  </si>
  <si>
    <t>Proportion of SW/ESW aged 15-19</t>
  </si>
  <si>
    <t>Proportion of SW/ESW aged 20-24</t>
  </si>
  <si>
    <t>Proportion of SW/ESW aged 25-29</t>
  </si>
  <si>
    <t>Proportion of SW/ESW aged 40 plus</t>
  </si>
  <si>
    <t>Proportion of SW/ESW aged 30-39</t>
  </si>
  <si>
    <t>Age debut of SW/ESW 15-19</t>
  </si>
  <si>
    <t>Age debut of SW/ESW 20-29</t>
  </si>
  <si>
    <t>Age debut of SW/ESW 30-39</t>
  </si>
  <si>
    <t>Age debut of SW/ESW 40 plus</t>
  </si>
  <si>
    <t>Duration 0-3 years</t>
  </si>
  <si>
    <t>Duration 3-5 years</t>
  </si>
  <si>
    <t>Duration 6-9 years</t>
  </si>
  <si>
    <t>Duration 10-19 years</t>
  </si>
  <si>
    <t>Proportion with 0 condomless partners</t>
  </si>
  <si>
    <t>Proportion on PrEP</t>
  </si>
  <si>
    <t>Proportion with STI</t>
  </si>
  <si>
    <t>Incidence</t>
  </si>
  <si>
    <t>Prevalence</t>
  </si>
  <si>
    <t>Proportion diagnosed</t>
  </si>
  <si>
    <t>Proportion on ART</t>
  </si>
  <si>
    <t>Proportion virally suppressed</t>
  </si>
  <si>
    <t>Proportion with a SW program visit</t>
  </si>
  <si>
    <t>sex workers</t>
  </si>
  <si>
    <t>women on edge of sex work</t>
  </si>
  <si>
    <t>Mean (90% range)</t>
  </si>
  <si>
    <t>n_sw_1549__25</t>
  </si>
  <si>
    <t>prop_w_1549_sw_25</t>
  </si>
  <si>
    <t>prop_w_ever_sw_25</t>
  </si>
  <si>
    <t>act_dur_sw_25</t>
  </si>
  <si>
    <t>p_sw_age1519__25</t>
  </si>
  <si>
    <t>p_sw_age2024__25</t>
  </si>
  <si>
    <t>p_sw_age2529__25</t>
  </si>
  <si>
    <t>p_sw_age3039__25</t>
  </si>
  <si>
    <t>p_sw_age40pl__25</t>
  </si>
  <si>
    <t>p_age_deb_sw1519__25</t>
  </si>
  <si>
    <t>p_age_deb_sw2029__25</t>
  </si>
  <si>
    <t>p_age_deb_sw3039__25</t>
  </si>
  <si>
    <t>p_age_deb_sw40pl__25</t>
  </si>
  <si>
    <t>p_totdur_0to3_sw_25</t>
  </si>
  <si>
    <t>p_totdur_3to5_sw_25</t>
  </si>
  <si>
    <t>p_totdur_6to9_sw_25</t>
  </si>
  <si>
    <t>p_totdur_10to19_sw_25</t>
  </si>
  <si>
    <t>p_fsw_newp0__25</t>
  </si>
  <si>
    <t>prop_sw_onprep_25</t>
  </si>
  <si>
    <t>p_sti_sw_25</t>
  </si>
  <si>
    <t>incidence_sw_25</t>
  </si>
  <si>
    <t>prevalence_sw_25</t>
  </si>
  <si>
    <t>p_diag_sw_25</t>
  </si>
  <si>
    <t>p_onart_diag_sw_25</t>
  </si>
  <si>
    <t>p_onart_vl1000_sw_25</t>
  </si>
  <si>
    <t>p_sw_prog_vis_25</t>
  </si>
  <si>
    <t>n_esw_1549__25</t>
  </si>
  <si>
    <t>prop_w_1549_esw_25</t>
  </si>
  <si>
    <t>prop_w_ever_esw_25</t>
  </si>
  <si>
    <t>act_dur_esw_25</t>
  </si>
  <si>
    <t>p_esw_age1519__25</t>
  </si>
  <si>
    <t>p_esw_age2024__25</t>
  </si>
  <si>
    <t>p_esw_age2529__25</t>
  </si>
  <si>
    <t>p_esw_age3039__25</t>
  </si>
  <si>
    <t>p_esw_age40pl__25</t>
  </si>
  <si>
    <t>p_age_deb_esw1519__25</t>
  </si>
  <si>
    <t>p_age_deb_esw2029__25</t>
  </si>
  <si>
    <t>p_age_deb_esw3039__25</t>
  </si>
  <si>
    <t>p_age_deb_esw40pl__25</t>
  </si>
  <si>
    <t>p_totdur_0to3_esw_25</t>
  </si>
  <si>
    <t>p_totdur_3to5_esw_25</t>
  </si>
  <si>
    <t>p_totdur_6to9_esw_25</t>
  </si>
  <si>
    <t>p_totdur_10to19_esw_25</t>
  </si>
  <si>
    <t>p_esw_newp0__25</t>
  </si>
  <si>
    <t>prop_esw_onprep_25</t>
  </si>
  <si>
    <t>p_sti_esw_25</t>
  </si>
  <si>
    <t>incidence_esw_25</t>
  </si>
  <si>
    <t>prevalence_esw_25</t>
  </si>
  <si>
    <t>p_diag_esw_25</t>
  </si>
  <si>
    <t>p_onart_diag_esw_25</t>
  </si>
  <si>
    <t>p_onart_vl1000_esw_25</t>
  </si>
  <si>
    <t>p_esw_prog_vis_25</t>
  </si>
  <si>
    <t>want fewer esw diagnosed</t>
  </si>
  <si>
    <t>why is this lower in esw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</si>
</sst>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AFBFE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top" wrapText="1"/>
    </xf>
    <xf numFmtId="0" fontId="0" fillId="0" borderId="0" xfId="0" applyAlignment="1">
      <alignment vertical="center"/>
    </xf>
    <xf numFmtId="0" fontId="2" fillId="2" borderId="0" xfId="0" applyFont="1" applyFill="1" applyAlignment="1">
      <alignment vertical="top" wrapText="1"/>
    </xf>
    <xf numFmtId="1" fontId="0" fillId="0" borderId="0" xfId="0" applyNumberFormat="1"/>
    <xf numFmtId="2" fontId="0" fillId="0" borderId="0" xfId="0" applyNumberFormat="1"/>
    <xf numFmtId="0" fontId="0" fillId="3" borderId="0" xfId="0" applyFill="1"/>
    <xf numFmtId="1" fontId="0" fillId="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6F2DE-706C-43DE-90D3-CD2A61F6FD02}">
  <dimension ref="A1:H55"/>
  <sheetViews>
    <sheetView workbookViewId="0">
      <selection activeCell="A2" sqref="A2:F53"/>
    </sheetView>
  </sheetViews>
  <sheetFormatPr defaultRowHeight="14.75" x14ac:dyDescent="0.75"/>
  <cols>
    <col min="1" max="1" width="24.31640625" customWidth="1"/>
    <col min="3" max="4" width="9.1796875" style="5" bestFit="1" customWidth="1"/>
    <col min="5" max="5" width="8.76953125" style="5" bestFit="1" customWidth="1"/>
    <col min="6" max="6" width="10.2265625" style="5" bestFit="1" customWidth="1"/>
  </cols>
  <sheetData>
    <row r="1" spans="1:8" x14ac:dyDescent="0.75">
      <c r="B1" t="s">
        <v>27</v>
      </c>
      <c r="C1" s="5" t="s">
        <v>28</v>
      </c>
      <c r="D1" s="5" t="s">
        <v>29</v>
      </c>
      <c r="E1" s="5" t="s">
        <v>30</v>
      </c>
      <c r="F1" s="5" t="s">
        <v>31</v>
      </c>
    </row>
    <row r="2" spans="1:8" x14ac:dyDescent="0.75">
      <c r="A2" t="s">
        <v>61</v>
      </c>
      <c r="B2">
        <v>47</v>
      </c>
      <c r="C2">
        <v>74849.990000000005</v>
      </c>
      <c r="D2">
        <v>80228.67</v>
      </c>
      <c r="E2">
        <v>32900.07</v>
      </c>
      <c r="F2">
        <v>144372.06</v>
      </c>
      <c r="H2" t="str">
        <f>TEXT(D2,"0") &amp; " (" &amp; TEXT(E2,"0") &amp; ", " &amp; TEXT(F2,"0") &amp; ")"</f>
        <v>80229 (32900, 144372)</v>
      </c>
    </row>
    <row r="3" spans="1:8" x14ac:dyDescent="0.75">
      <c r="A3" t="s">
        <v>62</v>
      </c>
      <c r="B3">
        <v>47</v>
      </c>
      <c r="C3">
        <v>1.7666399999999999E-2</v>
      </c>
      <c r="D3">
        <v>1.9103499999999999E-2</v>
      </c>
      <c r="E3">
        <v>7.8504000000000004E-3</v>
      </c>
      <c r="F3">
        <v>3.3205400000000003E-2</v>
      </c>
      <c r="H3" t="str">
        <f>TEXT(D3,"0.00") &amp; " (" &amp; TEXT(E3,"0.00") &amp; ", " &amp; TEXT(F3,"0.00") &amp; ")"</f>
        <v>0.02 (0.01, 0.03)</v>
      </c>
    </row>
    <row r="4" spans="1:8" x14ac:dyDescent="0.75">
      <c r="A4" t="s">
        <v>63</v>
      </c>
      <c r="B4">
        <v>47</v>
      </c>
      <c r="C4">
        <v>3.01138E-2</v>
      </c>
      <c r="D4">
        <v>3.2914600000000002E-2</v>
      </c>
      <c r="E4">
        <v>1.60047E-2</v>
      </c>
      <c r="F4">
        <v>5.8942399999999999E-2</v>
      </c>
      <c r="H4" t="str">
        <f t="shared" ref="H4:H53" si="0">TEXT(D4,"0.00") &amp; " (" &amp; TEXT(E4,"0.00") &amp; ", " &amp; TEXT(F4,"0.00") &amp; ")"</f>
        <v>0.03 (0.02, 0.06)</v>
      </c>
    </row>
    <row r="5" spans="1:8" x14ac:dyDescent="0.75">
      <c r="A5" t="s">
        <v>64</v>
      </c>
      <c r="B5">
        <v>47</v>
      </c>
      <c r="C5">
        <v>5.8314602000000004</v>
      </c>
      <c r="D5">
        <v>5.9553149000000003</v>
      </c>
      <c r="E5">
        <v>3.4853139</v>
      </c>
      <c r="F5">
        <v>8.1275233999999994</v>
      </c>
      <c r="H5" t="str">
        <f t="shared" si="0"/>
        <v>5.96 (3.49, 8.13)</v>
      </c>
    </row>
    <row r="6" spans="1:8" x14ac:dyDescent="0.75">
      <c r="A6" t="s">
        <v>65</v>
      </c>
      <c r="B6">
        <v>47</v>
      </c>
      <c r="C6">
        <v>6.7755899999999994E-2</v>
      </c>
      <c r="D6">
        <v>6.6768300000000003E-2</v>
      </c>
      <c r="E6">
        <v>4.1542599999999999E-2</v>
      </c>
      <c r="F6">
        <v>9.5597500000000002E-2</v>
      </c>
      <c r="H6" t="str">
        <f t="shared" si="0"/>
        <v>0.07 (0.04, 0.10)</v>
      </c>
    </row>
    <row r="7" spans="1:8" x14ac:dyDescent="0.75">
      <c r="A7" t="s">
        <v>66</v>
      </c>
      <c r="B7">
        <v>47</v>
      </c>
      <c r="C7">
        <v>0.1874826</v>
      </c>
      <c r="D7">
        <v>0.1948076</v>
      </c>
      <c r="E7">
        <v>0.14311180000000001</v>
      </c>
      <c r="F7">
        <v>0.25082759999999998</v>
      </c>
      <c r="H7" t="str">
        <f t="shared" si="0"/>
        <v>0.19 (0.14, 0.25)</v>
      </c>
    </row>
    <row r="8" spans="1:8" x14ac:dyDescent="0.75">
      <c r="A8" t="s">
        <v>67</v>
      </c>
      <c r="B8">
        <v>47</v>
      </c>
      <c r="C8">
        <v>0.19598689999999999</v>
      </c>
      <c r="D8">
        <v>0.19535859999999999</v>
      </c>
      <c r="E8">
        <v>0.15713650000000001</v>
      </c>
      <c r="F8">
        <v>0.23594709999999999</v>
      </c>
      <c r="H8" t="str">
        <f t="shared" si="0"/>
        <v>0.20 (0.16, 0.24)</v>
      </c>
    </row>
    <row r="9" spans="1:8" x14ac:dyDescent="0.75">
      <c r="A9" t="s">
        <v>68</v>
      </c>
      <c r="B9">
        <v>47</v>
      </c>
      <c r="C9">
        <v>0.31440170000000001</v>
      </c>
      <c r="D9">
        <v>0.3140155</v>
      </c>
      <c r="E9">
        <v>0.24445639999999999</v>
      </c>
      <c r="F9">
        <v>0.39627479999999998</v>
      </c>
      <c r="H9" t="str">
        <f t="shared" si="0"/>
        <v>0.31 (0.24, 0.40)</v>
      </c>
    </row>
    <row r="10" spans="1:8" x14ac:dyDescent="0.75">
      <c r="A10" t="s">
        <v>69</v>
      </c>
      <c r="B10">
        <v>47</v>
      </c>
      <c r="C10">
        <v>0.22851260000000001</v>
      </c>
      <c r="D10">
        <v>0.22905010000000001</v>
      </c>
      <c r="E10">
        <v>0.1705603</v>
      </c>
      <c r="F10">
        <v>0.28510849999999999</v>
      </c>
      <c r="H10" t="str">
        <f t="shared" si="0"/>
        <v>0.23 (0.17, 0.29)</v>
      </c>
    </row>
    <row r="11" spans="1:8" x14ac:dyDescent="0.75">
      <c r="A11" t="s">
        <v>70</v>
      </c>
      <c r="B11">
        <v>47</v>
      </c>
      <c r="C11">
        <v>0.35453630000000003</v>
      </c>
      <c r="D11">
        <v>0.35110219999999998</v>
      </c>
      <c r="E11">
        <v>0.27329589999999998</v>
      </c>
      <c r="F11">
        <v>0.41913800000000001</v>
      </c>
      <c r="H11" t="str">
        <f t="shared" si="0"/>
        <v>0.35 (0.27, 0.42)</v>
      </c>
    </row>
    <row r="12" spans="1:8" x14ac:dyDescent="0.75">
      <c r="A12" t="s">
        <v>71</v>
      </c>
      <c r="B12">
        <v>47</v>
      </c>
      <c r="C12">
        <v>0.47274050000000001</v>
      </c>
      <c r="D12">
        <v>0.47416629999999999</v>
      </c>
      <c r="E12">
        <v>0.41346159999999998</v>
      </c>
      <c r="F12">
        <v>0.51948340000000004</v>
      </c>
      <c r="H12" t="str">
        <f t="shared" si="0"/>
        <v>0.47 (0.41, 0.52)</v>
      </c>
    </row>
    <row r="13" spans="1:8" x14ac:dyDescent="0.75">
      <c r="A13" t="s">
        <v>72</v>
      </c>
      <c r="B13">
        <v>47</v>
      </c>
      <c r="C13">
        <v>0.12366829999999999</v>
      </c>
      <c r="D13">
        <v>0.12922710000000001</v>
      </c>
      <c r="E13">
        <v>9.5834600000000006E-2</v>
      </c>
      <c r="F13">
        <v>0.181003</v>
      </c>
      <c r="H13" t="str">
        <f t="shared" si="0"/>
        <v>0.13 (0.10, 0.18)</v>
      </c>
    </row>
    <row r="14" spans="1:8" x14ac:dyDescent="0.75">
      <c r="A14" t="s">
        <v>73</v>
      </c>
      <c r="B14">
        <v>47</v>
      </c>
      <c r="C14">
        <v>4.1957500000000002E-2</v>
      </c>
      <c r="D14">
        <v>4.55044E-2</v>
      </c>
      <c r="E14">
        <v>1.9496300000000001E-2</v>
      </c>
      <c r="F14">
        <v>7.43954E-2</v>
      </c>
      <c r="H14" t="str">
        <f t="shared" si="0"/>
        <v>0.05 (0.02, 0.07)</v>
      </c>
    </row>
    <row r="15" spans="1:8" x14ac:dyDescent="0.75">
      <c r="A15" t="s">
        <v>74</v>
      </c>
      <c r="B15">
        <v>47</v>
      </c>
      <c r="C15">
        <v>0.25223689999999999</v>
      </c>
      <c r="D15">
        <v>0.2637987</v>
      </c>
      <c r="E15">
        <v>0.20342830000000001</v>
      </c>
      <c r="F15">
        <v>0.37708049999999999</v>
      </c>
      <c r="H15" t="str">
        <f t="shared" si="0"/>
        <v>0.26 (0.20, 0.38)</v>
      </c>
    </row>
    <row r="16" spans="1:8" x14ac:dyDescent="0.75">
      <c r="A16" t="s">
        <v>75</v>
      </c>
      <c r="B16">
        <v>47</v>
      </c>
      <c r="C16">
        <v>0.20374139999999999</v>
      </c>
      <c r="D16">
        <v>0.20178099999999999</v>
      </c>
      <c r="E16">
        <v>0.14680869999999999</v>
      </c>
      <c r="F16">
        <v>0.24986430000000001</v>
      </c>
      <c r="H16" t="str">
        <f t="shared" si="0"/>
        <v>0.20 (0.15, 0.25)</v>
      </c>
    </row>
    <row r="17" spans="1:8" x14ac:dyDescent="0.75">
      <c r="A17" t="s">
        <v>76</v>
      </c>
      <c r="B17">
        <v>47</v>
      </c>
      <c r="C17">
        <v>0.16237550000000001</v>
      </c>
      <c r="D17">
        <v>0.1646311</v>
      </c>
      <c r="E17">
        <v>0.12627659999999999</v>
      </c>
      <c r="F17">
        <v>0.21144750000000001</v>
      </c>
      <c r="H17" t="str">
        <f t="shared" si="0"/>
        <v>0.16 (0.13, 0.21)</v>
      </c>
    </row>
    <row r="18" spans="1:8" x14ac:dyDescent="0.75">
      <c r="A18" t="s">
        <v>77</v>
      </c>
      <c r="B18">
        <v>47</v>
      </c>
      <c r="C18">
        <v>0.23992250000000001</v>
      </c>
      <c r="D18">
        <v>0.2336481</v>
      </c>
      <c r="E18">
        <v>0.13624030000000001</v>
      </c>
      <c r="F18">
        <v>0.3037456</v>
      </c>
      <c r="H18" t="str">
        <f t="shared" si="0"/>
        <v>0.23 (0.14, 0.30)</v>
      </c>
    </row>
    <row r="19" spans="1:8" x14ac:dyDescent="0.75">
      <c r="A19" t="s">
        <v>78</v>
      </c>
      <c r="B19">
        <v>47</v>
      </c>
      <c r="C19">
        <v>0.54610599999999998</v>
      </c>
      <c r="D19">
        <v>0.52100469999999999</v>
      </c>
      <c r="E19">
        <v>0.13062940000000001</v>
      </c>
      <c r="F19">
        <v>0.70582290000000003</v>
      </c>
      <c r="H19" t="str">
        <f t="shared" si="0"/>
        <v>0.52 (0.13, 0.71)</v>
      </c>
    </row>
    <row r="20" spans="1:8" x14ac:dyDescent="0.75">
      <c r="A20" t="s">
        <v>79</v>
      </c>
      <c r="B20">
        <v>47</v>
      </c>
      <c r="C20">
        <v>8.7848800000000005E-2</v>
      </c>
      <c r="D20">
        <v>9.2142299999999996E-2</v>
      </c>
      <c r="E20">
        <v>3.8619800000000003E-2</v>
      </c>
      <c r="F20">
        <v>0.16149160000000001</v>
      </c>
      <c r="H20" t="str">
        <f t="shared" si="0"/>
        <v>0.09 (0.04, 0.16)</v>
      </c>
    </row>
    <row r="21" spans="1:8" x14ac:dyDescent="0.75">
      <c r="A21" t="s">
        <v>80</v>
      </c>
      <c r="B21">
        <v>47</v>
      </c>
      <c r="C21">
        <v>7.1835800000000005E-2</v>
      </c>
      <c r="D21">
        <v>8.4169300000000002E-2</v>
      </c>
      <c r="E21">
        <v>3.6687200000000003E-2</v>
      </c>
      <c r="F21">
        <v>0.15189130000000001</v>
      </c>
      <c r="H21" t="str">
        <f t="shared" si="0"/>
        <v>0.08 (0.04, 0.15)</v>
      </c>
    </row>
    <row r="22" spans="1:8" x14ac:dyDescent="0.75">
      <c r="A22" t="s">
        <v>81</v>
      </c>
      <c r="B22">
        <v>47</v>
      </c>
      <c r="C22">
        <v>3.8447211999999999</v>
      </c>
      <c r="D22">
        <v>4.7481042000000002</v>
      </c>
      <c r="E22">
        <v>0</v>
      </c>
      <c r="F22">
        <v>9.2470107000000006</v>
      </c>
      <c r="H22" t="str">
        <f t="shared" si="0"/>
        <v>4.75 (0.00, 9.25)</v>
      </c>
    </row>
    <row r="23" spans="1:8" x14ac:dyDescent="0.75">
      <c r="A23" t="s">
        <v>82</v>
      </c>
      <c r="B23">
        <v>47</v>
      </c>
      <c r="C23">
        <v>0.4121454</v>
      </c>
      <c r="D23">
        <v>0.42592249999999998</v>
      </c>
      <c r="E23">
        <v>0.23752670000000001</v>
      </c>
      <c r="F23">
        <v>0.60674059999999996</v>
      </c>
      <c r="H23" t="str">
        <f t="shared" si="0"/>
        <v>0.43 (0.24, 0.61)</v>
      </c>
    </row>
    <row r="24" spans="1:8" x14ac:dyDescent="0.75">
      <c r="A24" t="s">
        <v>83</v>
      </c>
      <c r="B24">
        <v>47</v>
      </c>
      <c r="C24">
        <v>0.93969650000000005</v>
      </c>
      <c r="D24">
        <v>0.93380770000000002</v>
      </c>
      <c r="E24">
        <v>0.8529736</v>
      </c>
      <c r="F24">
        <v>0.98713700000000004</v>
      </c>
      <c r="H24" t="str">
        <f t="shared" si="0"/>
        <v>0.93 (0.85, 0.99)</v>
      </c>
    </row>
    <row r="25" spans="1:8" x14ac:dyDescent="0.75">
      <c r="A25" t="s">
        <v>84</v>
      </c>
      <c r="B25">
        <v>47</v>
      </c>
      <c r="C25">
        <v>0.93958969999999997</v>
      </c>
      <c r="D25">
        <v>0.92886120000000005</v>
      </c>
      <c r="E25">
        <v>0.80427329999999997</v>
      </c>
      <c r="F25">
        <v>0.98652309999999999</v>
      </c>
      <c r="H25" t="str">
        <f t="shared" si="0"/>
        <v>0.93 (0.80, 0.99)</v>
      </c>
    </row>
    <row r="26" spans="1:8" x14ac:dyDescent="0.75">
      <c r="A26" t="s">
        <v>85</v>
      </c>
      <c r="B26">
        <v>47</v>
      </c>
      <c r="C26">
        <v>0.99198310000000001</v>
      </c>
      <c r="D26">
        <v>0.98285440000000002</v>
      </c>
      <c r="E26">
        <v>0.91771610000000003</v>
      </c>
      <c r="F26">
        <v>1</v>
      </c>
      <c r="H26" t="str">
        <f t="shared" si="0"/>
        <v>0.98 (0.92, 1.00)</v>
      </c>
    </row>
    <row r="27" spans="1:8" x14ac:dyDescent="0.75">
      <c r="A27" t="s">
        <v>86</v>
      </c>
      <c r="B27">
        <v>47</v>
      </c>
      <c r="C27">
        <v>0.81474619999999998</v>
      </c>
      <c r="D27">
        <v>0.75357280000000004</v>
      </c>
      <c r="E27">
        <v>0</v>
      </c>
      <c r="F27">
        <v>0.91530549999999999</v>
      </c>
      <c r="H27" t="str">
        <f t="shared" si="0"/>
        <v>0.75 (0.00, 0.92)</v>
      </c>
    </row>
    <row r="28" spans="1:8" x14ac:dyDescent="0.75">
      <c r="A28" t="s">
        <v>87</v>
      </c>
      <c r="B28">
        <v>47</v>
      </c>
      <c r="C28">
        <v>108395.79</v>
      </c>
      <c r="D28">
        <v>114479.64</v>
      </c>
      <c r="E28">
        <v>38805.4</v>
      </c>
      <c r="F28">
        <v>210889</v>
      </c>
      <c r="H28" s="4" t="str">
        <f>TEXT(D28,"0") &amp; " (" &amp; TEXT(E28,"0") &amp; ", " &amp; TEXT(F28,"0") &amp; ")"</f>
        <v>114480 (38805, 210889)</v>
      </c>
    </row>
    <row r="29" spans="1:8" x14ac:dyDescent="0.75">
      <c r="A29" t="s">
        <v>88</v>
      </c>
      <c r="B29">
        <v>47</v>
      </c>
      <c r="C29">
        <v>2.5537399999999998E-2</v>
      </c>
      <c r="D29">
        <v>2.72582E-2</v>
      </c>
      <c r="E29">
        <v>9.1371999999999998E-3</v>
      </c>
      <c r="F29">
        <v>4.9231200000000003E-2</v>
      </c>
      <c r="H29" t="str">
        <f t="shared" si="0"/>
        <v>0.03 (0.01, 0.05)</v>
      </c>
    </row>
    <row r="30" spans="1:8" x14ac:dyDescent="0.75">
      <c r="A30" t="s">
        <v>89</v>
      </c>
      <c r="B30">
        <v>47</v>
      </c>
      <c r="C30">
        <v>3.4463000000000001E-2</v>
      </c>
      <c r="D30">
        <v>3.57916E-2</v>
      </c>
      <c r="E30">
        <v>1.51825E-2</v>
      </c>
      <c r="F30">
        <v>6.0038899999999999E-2</v>
      </c>
      <c r="H30" t="str">
        <f t="shared" si="0"/>
        <v>0.04 (0.02, 0.06)</v>
      </c>
    </row>
    <row r="31" spans="1:8" x14ac:dyDescent="0.75">
      <c r="A31" t="s">
        <v>90</v>
      </c>
      <c r="B31">
        <v>47</v>
      </c>
      <c r="C31">
        <v>8.5579537000000006</v>
      </c>
      <c r="D31">
        <v>8.5197040000000008</v>
      </c>
      <c r="E31">
        <v>6.1292980999999997</v>
      </c>
      <c r="F31">
        <v>10.3849885</v>
      </c>
      <c r="H31" t="str">
        <f t="shared" si="0"/>
        <v>8.52 (6.13, 10.38)</v>
      </c>
    </row>
    <row r="32" spans="1:8" x14ac:dyDescent="0.75">
      <c r="A32" t="s">
        <v>91</v>
      </c>
      <c r="B32">
        <v>47</v>
      </c>
      <c r="C32">
        <v>5.7121100000000001E-2</v>
      </c>
      <c r="D32">
        <v>5.9451400000000001E-2</v>
      </c>
      <c r="E32">
        <v>2.9858200000000001E-2</v>
      </c>
      <c r="F32">
        <v>8.9373099999999997E-2</v>
      </c>
      <c r="H32" t="str">
        <f t="shared" si="0"/>
        <v>0.06 (0.03, 0.09)</v>
      </c>
    </row>
    <row r="33" spans="1:8" x14ac:dyDescent="0.75">
      <c r="A33" t="s">
        <v>92</v>
      </c>
      <c r="B33">
        <v>47</v>
      </c>
      <c r="C33">
        <v>0.16592599999999999</v>
      </c>
      <c r="D33">
        <v>0.1647265</v>
      </c>
      <c r="E33">
        <v>0.12906229999999999</v>
      </c>
      <c r="F33">
        <v>0.20029810000000001</v>
      </c>
      <c r="H33" t="str">
        <f t="shared" si="0"/>
        <v>0.16 (0.13, 0.20)</v>
      </c>
    </row>
    <row r="34" spans="1:8" x14ac:dyDescent="0.75">
      <c r="A34" t="s">
        <v>93</v>
      </c>
      <c r="B34">
        <v>47</v>
      </c>
      <c r="C34">
        <v>0.18781339999999999</v>
      </c>
      <c r="D34">
        <v>0.19298650000000001</v>
      </c>
      <c r="E34">
        <v>0.14793519999999999</v>
      </c>
      <c r="F34">
        <v>0.24019940000000001</v>
      </c>
      <c r="H34" t="str">
        <f t="shared" si="0"/>
        <v>0.19 (0.15, 0.24)</v>
      </c>
    </row>
    <row r="35" spans="1:8" x14ac:dyDescent="0.75">
      <c r="A35" t="s">
        <v>94</v>
      </c>
      <c r="B35">
        <v>47</v>
      </c>
      <c r="C35">
        <v>0.33127450000000003</v>
      </c>
      <c r="D35">
        <v>0.331482</v>
      </c>
      <c r="E35">
        <v>0.2930545</v>
      </c>
      <c r="F35">
        <v>0.37606260000000002</v>
      </c>
      <c r="H35" t="str">
        <f t="shared" si="0"/>
        <v>0.33 (0.29, 0.38)</v>
      </c>
    </row>
    <row r="36" spans="1:8" x14ac:dyDescent="0.75">
      <c r="A36" t="s">
        <v>95</v>
      </c>
      <c r="B36">
        <v>47</v>
      </c>
      <c r="C36">
        <v>0.25088709999999997</v>
      </c>
      <c r="D36">
        <v>0.25135360000000001</v>
      </c>
      <c r="E36">
        <v>0.19517590000000001</v>
      </c>
      <c r="F36">
        <v>0.33729629999999999</v>
      </c>
      <c r="H36" t="str">
        <f t="shared" si="0"/>
        <v>0.25 (0.20, 0.34)</v>
      </c>
    </row>
    <row r="37" spans="1:8" x14ac:dyDescent="0.75">
      <c r="A37" t="s">
        <v>96</v>
      </c>
      <c r="B37">
        <v>47</v>
      </c>
      <c r="C37">
        <v>0.35626170000000001</v>
      </c>
      <c r="D37">
        <v>0.35831180000000001</v>
      </c>
      <c r="E37">
        <v>0.29751830000000001</v>
      </c>
      <c r="F37">
        <v>0.41541280000000003</v>
      </c>
      <c r="H37" t="str">
        <f t="shared" si="0"/>
        <v>0.36 (0.30, 0.42)</v>
      </c>
    </row>
    <row r="38" spans="1:8" x14ac:dyDescent="0.75">
      <c r="A38" t="s">
        <v>97</v>
      </c>
      <c r="B38">
        <v>47</v>
      </c>
      <c r="C38">
        <v>0.48758859999999998</v>
      </c>
      <c r="D38">
        <v>0.48069849999999997</v>
      </c>
      <c r="E38">
        <v>0.43139509999999998</v>
      </c>
      <c r="F38">
        <v>0.53154710000000005</v>
      </c>
      <c r="H38" t="str">
        <f t="shared" si="0"/>
        <v>0.48 (0.43, 0.53)</v>
      </c>
    </row>
    <row r="39" spans="1:8" x14ac:dyDescent="0.75">
      <c r="A39" t="s">
        <v>98</v>
      </c>
      <c r="B39">
        <v>47</v>
      </c>
      <c r="C39">
        <v>0.11863659999999999</v>
      </c>
      <c r="D39">
        <v>0.1210125</v>
      </c>
      <c r="E39">
        <v>8.8649599999999995E-2</v>
      </c>
      <c r="F39">
        <v>0.164571</v>
      </c>
      <c r="H39" t="str">
        <f t="shared" si="0"/>
        <v>0.12 (0.09, 0.16)</v>
      </c>
    </row>
    <row r="40" spans="1:8" x14ac:dyDescent="0.75">
      <c r="A40" t="s">
        <v>99</v>
      </c>
      <c r="B40">
        <v>47</v>
      </c>
      <c r="C40">
        <v>3.8494100000000003E-2</v>
      </c>
      <c r="D40">
        <v>3.9977199999999997E-2</v>
      </c>
      <c r="E40">
        <v>1.8588E-2</v>
      </c>
      <c r="F40">
        <v>6.05348E-2</v>
      </c>
      <c r="H40" t="str">
        <f t="shared" si="0"/>
        <v>0.04 (0.02, 0.06)</v>
      </c>
    </row>
    <row r="41" spans="1:8" x14ac:dyDescent="0.75">
      <c r="A41" t="s">
        <v>100</v>
      </c>
      <c r="B41">
        <v>47</v>
      </c>
      <c r="C41">
        <v>0.21307200000000001</v>
      </c>
      <c r="D41">
        <v>0.21684800000000001</v>
      </c>
      <c r="E41">
        <v>0.16725490000000001</v>
      </c>
      <c r="F41">
        <v>0.28214040000000001</v>
      </c>
      <c r="H41" t="str">
        <f t="shared" si="0"/>
        <v>0.22 (0.17, 0.28)</v>
      </c>
    </row>
    <row r="42" spans="1:8" x14ac:dyDescent="0.75">
      <c r="A42" t="s">
        <v>101</v>
      </c>
      <c r="B42">
        <v>47</v>
      </c>
      <c r="C42">
        <v>0.1740092</v>
      </c>
      <c r="D42">
        <v>0.18003269999999999</v>
      </c>
      <c r="E42">
        <v>0.1453885</v>
      </c>
      <c r="F42">
        <v>0.2341674</v>
      </c>
      <c r="H42" t="str">
        <f t="shared" si="0"/>
        <v>0.18 (0.15, 0.23)</v>
      </c>
    </row>
    <row r="43" spans="1:8" x14ac:dyDescent="0.75">
      <c r="A43" t="s">
        <v>102</v>
      </c>
      <c r="B43">
        <v>47</v>
      </c>
      <c r="C43">
        <v>0.18210989999999999</v>
      </c>
      <c r="D43">
        <v>0.18436859999999999</v>
      </c>
      <c r="E43">
        <v>0.14893429999999999</v>
      </c>
      <c r="F43">
        <v>0.22518060000000001</v>
      </c>
      <c r="H43" t="str">
        <f t="shared" si="0"/>
        <v>0.18 (0.15, 0.23)</v>
      </c>
    </row>
    <row r="44" spans="1:8" x14ac:dyDescent="0.75">
      <c r="A44" t="s">
        <v>103</v>
      </c>
      <c r="B44">
        <v>47</v>
      </c>
      <c r="C44">
        <v>0.27390969999999998</v>
      </c>
      <c r="D44">
        <v>0.26749040000000002</v>
      </c>
      <c r="E44">
        <v>0.17833689999999999</v>
      </c>
      <c r="F44">
        <v>0.31734390000000001</v>
      </c>
      <c r="H44" t="str">
        <f t="shared" si="0"/>
        <v>0.27 (0.18, 0.32)</v>
      </c>
    </row>
    <row r="45" spans="1:8" x14ac:dyDescent="0.75">
      <c r="A45" t="s">
        <v>104</v>
      </c>
      <c r="B45">
        <v>47</v>
      </c>
      <c r="C45">
        <v>0.38116889999999998</v>
      </c>
      <c r="D45">
        <v>0.38284869999999999</v>
      </c>
      <c r="E45">
        <v>0.2654821</v>
      </c>
      <c r="F45">
        <v>0.53653819999999997</v>
      </c>
      <c r="H45" t="str">
        <f t="shared" si="0"/>
        <v>0.38 (0.27, 0.54)</v>
      </c>
    </row>
    <row r="46" spans="1:8" x14ac:dyDescent="0.75">
      <c r="A46" t="s">
        <v>105</v>
      </c>
      <c r="B46">
        <v>47</v>
      </c>
      <c r="C46">
        <v>3.0357100000000001E-2</v>
      </c>
      <c r="D46">
        <v>3.3865699999999999E-2</v>
      </c>
      <c r="E46">
        <v>1.0182E-2</v>
      </c>
      <c r="F46">
        <v>6.7599500000000007E-2</v>
      </c>
      <c r="H46" t="str">
        <f t="shared" si="0"/>
        <v>0.03 (0.01, 0.07)</v>
      </c>
    </row>
    <row r="47" spans="1:8" x14ac:dyDescent="0.75">
      <c r="A47" t="s">
        <v>106</v>
      </c>
      <c r="B47">
        <v>47</v>
      </c>
      <c r="C47">
        <v>0.15311469999999999</v>
      </c>
      <c r="D47">
        <v>0.14939659999999999</v>
      </c>
      <c r="E47">
        <v>8.2189600000000002E-2</v>
      </c>
      <c r="F47">
        <v>0.20427319999999999</v>
      </c>
      <c r="H47" t="str">
        <f t="shared" si="0"/>
        <v>0.15 (0.08, 0.20)</v>
      </c>
    </row>
    <row r="48" spans="1:8" x14ac:dyDescent="0.75">
      <c r="A48" t="s">
        <v>107</v>
      </c>
      <c r="B48">
        <v>47</v>
      </c>
      <c r="C48">
        <v>4.4444444000000001</v>
      </c>
      <c r="D48">
        <v>5.6444464999999999</v>
      </c>
      <c r="E48">
        <v>1.5706806</v>
      </c>
      <c r="F48">
        <v>14.292087</v>
      </c>
      <c r="H48" t="str">
        <f t="shared" si="0"/>
        <v>5.64 (1.57, 14.29)</v>
      </c>
    </row>
    <row r="49" spans="1:8" x14ac:dyDescent="0.75">
      <c r="A49" t="s">
        <v>108</v>
      </c>
      <c r="B49">
        <v>47</v>
      </c>
      <c r="C49">
        <v>0.48084729999999998</v>
      </c>
      <c r="D49">
        <v>0.48672890000000002</v>
      </c>
      <c r="E49">
        <v>0.31200420000000001</v>
      </c>
      <c r="F49">
        <v>0.6968993</v>
      </c>
      <c r="H49" t="str">
        <f t="shared" si="0"/>
        <v>0.49 (0.31, 0.70)</v>
      </c>
    </row>
    <row r="50" spans="1:8" x14ac:dyDescent="0.75">
      <c r="A50" t="s">
        <v>109</v>
      </c>
      <c r="B50">
        <v>47</v>
      </c>
      <c r="C50">
        <v>0.92972069999999996</v>
      </c>
      <c r="D50">
        <v>0.92179929999999999</v>
      </c>
      <c r="E50">
        <v>0.86795560000000005</v>
      </c>
      <c r="F50">
        <v>0.9678272</v>
      </c>
      <c r="H50" t="str">
        <f t="shared" si="0"/>
        <v>0.92 (0.87, 0.97)</v>
      </c>
    </row>
    <row r="51" spans="1:8" x14ac:dyDescent="0.75">
      <c r="A51" t="s">
        <v>110</v>
      </c>
      <c r="B51">
        <v>47</v>
      </c>
      <c r="C51">
        <v>0.91359509999999999</v>
      </c>
      <c r="D51">
        <v>0.88607440000000004</v>
      </c>
      <c r="E51">
        <v>0.71411970000000002</v>
      </c>
      <c r="F51">
        <v>0.96642749999999999</v>
      </c>
      <c r="H51" t="str">
        <f t="shared" si="0"/>
        <v>0.89 (0.71, 0.97)</v>
      </c>
    </row>
    <row r="52" spans="1:8" x14ac:dyDescent="0.75">
      <c r="A52" t="s">
        <v>111</v>
      </c>
      <c r="B52">
        <v>47</v>
      </c>
      <c r="C52">
        <v>0.97590169999999998</v>
      </c>
      <c r="D52">
        <v>0.97025779999999995</v>
      </c>
      <c r="E52">
        <v>0.924431</v>
      </c>
      <c r="F52">
        <v>0.99418600000000001</v>
      </c>
      <c r="H52" t="str">
        <f t="shared" si="0"/>
        <v>0.97 (0.92, 0.99)</v>
      </c>
    </row>
    <row r="53" spans="1:8" x14ac:dyDescent="0.75">
      <c r="A53" t="s">
        <v>112</v>
      </c>
      <c r="B53">
        <v>47</v>
      </c>
      <c r="C53">
        <v>0</v>
      </c>
      <c r="D53">
        <v>0</v>
      </c>
      <c r="E53">
        <v>0</v>
      </c>
      <c r="F53">
        <v>0</v>
      </c>
      <c r="H53" t="str">
        <f t="shared" si="0"/>
        <v>0.00 (0.00, 0.00)</v>
      </c>
    </row>
    <row r="54" spans="1:8" x14ac:dyDescent="0.75">
      <c r="A54" s="2"/>
    </row>
    <row r="55" spans="1:8" x14ac:dyDescent="0.75">
      <c r="A55" s="3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48F17-725C-4C3C-B9AE-AD5F1C02F433}">
  <dimension ref="A1:E54"/>
  <sheetViews>
    <sheetView tabSelected="1" topLeftCell="A11" workbookViewId="0">
      <selection activeCell="B25" sqref="B25"/>
    </sheetView>
  </sheetViews>
  <sheetFormatPr defaultRowHeight="15" customHeight="1" x14ac:dyDescent="0.75"/>
  <cols>
    <col min="1" max="1" width="23.5" customWidth="1"/>
    <col min="2" max="2" width="43.08984375" bestFit="1" customWidth="1"/>
    <col min="3" max="3" width="20.58984375" customWidth="1"/>
    <col min="4" max="4" width="19.81640625" customWidth="1"/>
  </cols>
  <sheetData>
    <row r="1" spans="1:4" ht="15" customHeight="1" x14ac:dyDescent="0.75">
      <c r="C1" t="s">
        <v>58</v>
      </c>
      <c r="D1" t="s">
        <v>59</v>
      </c>
    </row>
    <row r="2" spans="1:4" ht="15" customHeight="1" x14ac:dyDescent="0.75">
      <c r="C2" t="s">
        <v>60</v>
      </c>
      <c r="D2" t="s">
        <v>60</v>
      </c>
    </row>
    <row r="3" spans="1:4" ht="15" customHeight="1" x14ac:dyDescent="0.75">
      <c r="A3" s="1" t="s">
        <v>0</v>
      </c>
      <c r="B3" t="s">
        <v>32</v>
      </c>
      <c r="C3" t="str">
        <f>raw!H2</f>
        <v>80229 (32900, 144372)</v>
      </c>
      <c r="D3" s="4" t="str">
        <f>raw!H28</f>
        <v>114480 (38805, 210889)</v>
      </c>
    </row>
    <row r="4" spans="1:4" ht="15" customHeight="1" x14ac:dyDescent="0.75">
      <c r="A4" s="1" t="s">
        <v>1</v>
      </c>
      <c r="B4" t="s">
        <v>34</v>
      </c>
      <c r="C4" t="str">
        <f>raw!H3</f>
        <v>0.02 (0.01, 0.03)</v>
      </c>
      <c r="D4" s="4" t="str">
        <f>raw!H29</f>
        <v>0.03 (0.01, 0.05)</v>
      </c>
    </row>
    <row r="5" spans="1:4" ht="15" customHeight="1" x14ac:dyDescent="0.75">
      <c r="A5" s="1" t="s">
        <v>2</v>
      </c>
      <c r="B5" t="s">
        <v>33</v>
      </c>
      <c r="C5" t="str">
        <f>raw!H4</f>
        <v>0.03 (0.02, 0.06)</v>
      </c>
      <c r="D5" s="4" t="str">
        <f>raw!H30</f>
        <v>0.04 (0.02, 0.06)</v>
      </c>
    </row>
    <row r="6" spans="1:4" ht="15" customHeight="1" x14ac:dyDescent="0.75">
      <c r="A6" s="1" t="s">
        <v>3</v>
      </c>
      <c r="B6" t="s">
        <v>35</v>
      </c>
      <c r="C6" t="str">
        <f>raw!H5</f>
        <v>5.96 (3.49, 8.13)</v>
      </c>
      <c r="D6" s="4" t="str">
        <f>raw!H31</f>
        <v>8.52 (6.13, 10.38)</v>
      </c>
    </row>
    <row r="7" spans="1:4" ht="15" customHeight="1" x14ac:dyDescent="0.75">
      <c r="A7" s="1" t="s">
        <v>4</v>
      </c>
      <c r="B7" t="s">
        <v>36</v>
      </c>
      <c r="C7" t="str">
        <f>raw!H6</f>
        <v>0.07 (0.04, 0.10)</v>
      </c>
      <c r="D7" s="4" t="str">
        <f>raw!H32</f>
        <v>0.06 (0.03, 0.09)</v>
      </c>
    </row>
    <row r="8" spans="1:4" ht="15" customHeight="1" x14ac:dyDescent="0.75">
      <c r="A8" s="1" t="s">
        <v>5</v>
      </c>
      <c r="B8" t="s">
        <v>37</v>
      </c>
      <c r="C8" t="str">
        <f>raw!H7</f>
        <v>0.19 (0.14, 0.25)</v>
      </c>
      <c r="D8" s="4" t="str">
        <f>raw!H33</f>
        <v>0.16 (0.13, 0.20)</v>
      </c>
    </row>
    <row r="9" spans="1:4" ht="15" customHeight="1" x14ac:dyDescent="0.75">
      <c r="A9" s="1" t="s">
        <v>6</v>
      </c>
      <c r="B9" t="s">
        <v>38</v>
      </c>
      <c r="C9" t="str">
        <f>raw!H8</f>
        <v>0.20 (0.16, 0.24)</v>
      </c>
      <c r="D9" s="4" t="str">
        <f>raw!H34</f>
        <v>0.19 (0.15, 0.24)</v>
      </c>
    </row>
    <row r="10" spans="1:4" ht="15" customHeight="1" x14ac:dyDescent="0.75">
      <c r="A10" s="1" t="s">
        <v>7</v>
      </c>
      <c r="B10" t="s">
        <v>40</v>
      </c>
      <c r="C10" t="str">
        <f>raw!H9</f>
        <v>0.31 (0.24, 0.40)</v>
      </c>
      <c r="D10" s="4" t="str">
        <f>raw!H35</f>
        <v>0.33 (0.29, 0.38)</v>
      </c>
    </row>
    <row r="11" spans="1:4" ht="15" customHeight="1" x14ac:dyDescent="0.75">
      <c r="A11" s="1" t="s">
        <v>8</v>
      </c>
      <c r="B11" t="s">
        <v>39</v>
      </c>
      <c r="C11" t="str">
        <f>raw!H10</f>
        <v>0.23 (0.17, 0.29)</v>
      </c>
      <c r="D11" s="4" t="str">
        <f>raw!H36</f>
        <v>0.25 (0.20, 0.34)</v>
      </c>
    </row>
    <row r="12" spans="1:4" ht="15" customHeight="1" x14ac:dyDescent="0.75">
      <c r="A12" s="1" t="s">
        <v>9</v>
      </c>
      <c r="B12" t="s">
        <v>41</v>
      </c>
      <c r="C12" t="str">
        <f>raw!H11</f>
        <v>0.35 (0.27, 0.42)</v>
      </c>
      <c r="D12" s="4" t="str">
        <f>raw!H37</f>
        <v>0.36 (0.30, 0.42)</v>
      </c>
    </row>
    <row r="13" spans="1:4" ht="15" customHeight="1" x14ac:dyDescent="0.75">
      <c r="A13" s="1" t="s">
        <v>10</v>
      </c>
      <c r="B13" t="s">
        <v>42</v>
      </c>
      <c r="C13" t="str">
        <f>raw!H12</f>
        <v>0.47 (0.41, 0.52)</v>
      </c>
      <c r="D13" s="4" t="str">
        <f>raw!H38</f>
        <v>0.48 (0.43, 0.53)</v>
      </c>
    </row>
    <row r="14" spans="1:4" ht="15" customHeight="1" x14ac:dyDescent="0.75">
      <c r="A14" s="1" t="s">
        <v>11</v>
      </c>
      <c r="B14" t="s">
        <v>43</v>
      </c>
      <c r="C14" t="str">
        <f>raw!H13</f>
        <v>0.13 (0.10, 0.18)</v>
      </c>
      <c r="D14" s="4" t="str">
        <f>raw!H39</f>
        <v>0.12 (0.09, 0.16)</v>
      </c>
    </row>
    <row r="15" spans="1:4" ht="15" customHeight="1" x14ac:dyDescent="0.75">
      <c r="A15" s="1" t="s">
        <v>12</v>
      </c>
      <c r="B15" t="s">
        <v>44</v>
      </c>
      <c r="C15" t="str">
        <f>raw!H14</f>
        <v>0.05 (0.02, 0.07)</v>
      </c>
      <c r="D15" s="4" t="str">
        <f>raw!H40</f>
        <v>0.04 (0.02, 0.06)</v>
      </c>
    </row>
    <row r="16" spans="1:4" ht="15" customHeight="1" x14ac:dyDescent="0.75">
      <c r="A16" s="1" t="s">
        <v>13</v>
      </c>
      <c r="B16" t="s">
        <v>45</v>
      </c>
      <c r="C16" t="str">
        <f>raw!H15</f>
        <v>0.26 (0.20, 0.38)</v>
      </c>
      <c r="D16" s="4" t="str">
        <f>raw!H41</f>
        <v>0.22 (0.17, 0.28)</v>
      </c>
    </row>
    <row r="17" spans="1:5" ht="15" customHeight="1" x14ac:dyDescent="0.75">
      <c r="A17" s="1" t="s">
        <v>14</v>
      </c>
      <c r="B17" t="s">
        <v>46</v>
      </c>
      <c r="C17" t="str">
        <f>raw!H16</f>
        <v>0.20 (0.15, 0.25)</v>
      </c>
      <c r="D17" s="4" t="str">
        <f>raw!H42</f>
        <v>0.18 (0.15, 0.23)</v>
      </c>
    </row>
    <row r="18" spans="1:5" ht="15" customHeight="1" x14ac:dyDescent="0.75">
      <c r="A18" s="1" t="s">
        <v>15</v>
      </c>
      <c r="B18" t="s">
        <v>47</v>
      </c>
      <c r="C18" t="str">
        <f>raw!H17</f>
        <v>0.16 (0.13, 0.21)</v>
      </c>
      <c r="D18" s="4" t="str">
        <f>raw!H43</f>
        <v>0.18 (0.15, 0.23)</v>
      </c>
    </row>
    <row r="19" spans="1:5" ht="15" customHeight="1" x14ac:dyDescent="0.75">
      <c r="A19" s="1" t="s">
        <v>16</v>
      </c>
      <c r="B19" t="s">
        <v>48</v>
      </c>
      <c r="C19" t="str">
        <f>raw!H18</f>
        <v>0.23 (0.14, 0.30)</v>
      </c>
      <c r="D19" s="4" t="str">
        <f>raw!H44</f>
        <v>0.27 (0.18, 0.32)</v>
      </c>
    </row>
    <row r="20" spans="1:5" ht="15" customHeight="1" x14ac:dyDescent="0.75">
      <c r="A20" s="1" t="s">
        <v>17</v>
      </c>
      <c r="B20" t="s">
        <v>49</v>
      </c>
      <c r="C20" t="str">
        <f>raw!H19</f>
        <v>0.52 (0.13, 0.71)</v>
      </c>
      <c r="D20" s="4" t="str">
        <f>raw!H45</f>
        <v>0.38 (0.27, 0.54)</v>
      </c>
    </row>
    <row r="21" spans="1:5" ht="15" customHeight="1" x14ac:dyDescent="0.75">
      <c r="A21" s="1" t="s">
        <v>18</v>
      </c>
      <c r="B21" t="s">
        <v>50</v>
      </c>
      <c r="C21" s="6" t="str">
        <f>raw!H20</f>
        <v>0.09 (0.04, 0.16)</v>
      </c>
      <c r="D21" s="7" t="str">
        <f>raw!H46</f>
        <v>0.03 (0.01, 0.07)</v>
      </c>
    </row>
    <row r="22" spans="1:5" ht="15" customHeight="1" x14ac:dyDescent="0.75">
      <c r="A22" s="1" t="s">
        <v>19</v>
      </c>
      <c r="B22" t="s">
        <v>51</v>
      </c>
      <c r="C22" s="6" t="str">
        <f>raw!H21</f>
        <v>0.08 (0.04, 0.15)</v>
      </c>
      <c r="D22" s="7" t="str">
        <f>raw!H47</f>
        <v>0.15 (0.08, 0.20)</v>
      </c>
    </row>
    <row r="23" spans="1:5" ht="15" customHeight="1" x14ac:dyDescent="0.75">
      <c r="A23" s="1" t="s">
        <v>20</v>
      </c>
      <c r="B23" t="s">
        <v>52</v>
      </c>
      <c r="C23" t="str">
        <f>raw!H22</f>
        <v>4.75 (0.00, 9.25)</v>
      </c>
      <c r="D23" s="4" t="str">
        <f>raw!H48</f>
        <v>5.64 (1.57, 14.29)</v>
      </c>
    </row>
    <row r="24" spans="1:5" ht="15" customHeight="1" x14ac:dyDescent="0.75">
      <c r="A24" s="1" t="s">
        <v>21</v>
      </c>
      <c r="B24" t="s">
        <v>53</v>
      </c>
      <c r="C24" t="str">
        <f>raw!H23</f>
        <v>0.43 (0.24, 0.61)</v>
      </c>
      <c r="D24" s="4" t="str">
        <f>raw!H49</f>
        <v>0.49 (0.31, 0.70)</v>
      </c>
    </row>
    <row r="25" spans="1:5" ht="15" customHeight="1" x14ac:dyDescent="0.75">
      <c r="A25" s="1" t="s">
        <v>22</v>
      </c>
      <c r="B25" t="s">
        <v>54</v>
      </c>
      <c r="C25" s="6" t="str">
        <f>raw!H24</f>
        <v>0.93 (0.85, 0.99)</v>
      </c>
      <c r="D25" s="7" t="str">
        <f>raw!H50</f>
        <v>0.92 (0.87, 0.97)</v>
      </c>
      <c r="E25" t="s">
        <v>113</v>
      </c>
    </row>
    <row r="26" spans="1:5" ht="15" customHeight="1" x14ac:dyDescent="0.75">
      <c r="A26" s="1" t="s">
        <v>23</v>
      </c>
      <c r="B26" t="s">
        <v>55</v>
      </c>
      <c r="C26" s="6" t="str">
        <f>raw!H25</f>
        <v>0.93 (0.80, 0.99)</v>
      </c>
      <c r="D26" s="7" t="str">
        <f>raw!H51</f>
        <v>0.89 (0.71, 0.97)</v>
      </c>
      <c r="E26" t="s">
        <v>114</v>
      </c>
    </row>
    <row r="27" spans="1:5" ht="15" customHeight="1" x14ac:dyDescent="0.75">
      <c r="A27" s="1" t="s">
        <v>24</v>
      </c>
      <c r="B27" t="s">
        <v>56</v>
      </c>
      <c r="C27" t="str">
        <f>raw!H26</f>
        <v>0.98 (0.92, 1.00)</v>
      </c>
      <c r="D27" s="4" t="str">
        <f>raw!H52</f>
        <v>0.97 (0.92, 0.99)</v>
      </c>
    </row>
    <row r="28" spans="1:5" ht="15" customHeight="1" x14ac:dyDescent="0.75">
      <c r="A28" s="1" t="s">
        <v>25</v>
      </c>
      <c r="B28" t="s">
        <v>57</v>
      </c>
      <c r="C28" t="str">
        <f>raw!H27</f>
        <v>0.75 (0.00, 0.92)</v>
      </c>
      <c r="D28" s="4" t="str">
        <f>raw!H53</f>
        <v>0.00 (0.00, 0.00)</v>
      </c>
    </row>
    <row r="29" spans="1:5" ht="15" customHeight="1" x14ac:dyDescent="0.75">
      <c r="A29" s="1"/>
    </row>
    <row r="30" spans="1:5" ht="15" customHeight="1" x14ac:dyDescent="0.75">
      <c r="A30" s="1"/>
    </row>
    <row r="31" spans="1:5" ht="15" customHeight="1" x14ac:dyDescent="0.75">
      <c r="A31" s="1"/>
    </row>
    <row r="32" spans="1:5" ht="15" customHeight="1" x14ac:dyDescent="0.75">
      <c r="A32" s="1"/>
    </row>
    <row r="33" spans="1:1" ht="15" customHeight="1" x14ac:dyDescent="0.75">
      <c r="A33" s="1"/>
    </row>
    <row r="34" spans="1:1" ht="15" customHeight="1" x14ac:dyDescent="0.75">
      <c r="A34" s="1"/>
    </row>
    <row r="35" spans="1:1" ht="15" customHeight="1" x14ac:dyDescent="0.75">
      <c r="A35" s="1"/>
    </row>
    <row r="36" spans="1:1" ht="15" customHeight="1" x14ac:dyDescent="0.75">
      <c r="A36" s="1"/>
    </row>
    <row r="37" spans="1:1" ht="15" customHeight="1" x14ac:dyDescent="0.75">
      <c r="A37" s="1"/>
    </row>
    <row r="38" spans="1:1" ht="15" customHeight="1" x14ac:dyDescent="0.75">
      <c r="A38" s="1"/>
    </row>
    <row r="39" spans="1:1" ht="15" customHeight="1" x14ac:dyDescent="0.75">
      <c r="A39" s="1"/>
    </row>
    <row r="40" spans="1:1" ht="15" customHeight="1" x14ac:dyDescent="0.75">
      <c r="A40" s="1"/>
    </row>
    <row r="41" spans="1:1" ht="15" customHeight="1" x14ac:dyDescent="0.75">
      <c r="A41" s="1"/>
    </row>
    <row r="42" spans="1:1" ht="15" customHeight="1" x14ac:dyDescent="0.75">
      <c r="A42" s="1"/>
    </row>
    <row r="43" spans="1:1" ht="15" customHeight="1" x14ac:dyDescent="0.75">
      <c r="A43" s="1"/>
    </row>
    <row r="44" spans="1:1" ht="15" customHeight="1" x14ac:dyDescent="0.75">
      <c r="A44" s="1"/>
    </row>
    <row r="45" spans="1:1" ht="15" customHeight="1" x14ac:dyDescent="0.75">
      <c r="A45" s="1"/>
    </row>
    <row r="46" spans="1:1" ht="15" customHeight="1" x14ac:dyDescent="0.75">
      <c r="A46" s="1"/>
    </row>
    <row r="47" spans="1:1" ht="15" customHeight="1" x14ac:dyDescent="0.75">
      <c r="A47" s="1"/>
    </row>
    <row r="48" spans="1:1" ht="15" customHeight="1" x14ac:dyDescent="0.75">
      <c r="A48" s="1"/>
    </row>
    <row r="49" spans="1:1" ht="15" customHeight="1" x14ac:dyDescent="0.75">
      <c r="A49" s="1"/>
    </row>
    <row r="50" spans="1:1" ht="15" customHeight="1" x14ac:dyDescent="0.75">
      <c r="A50" s="1"/>
    </row>
    <row r="51" spans="1:1" ht="15" customHeight="1" x14ac:dyDescent="0.75">
      <c r="A51" s="1"/>
    </row>
    <row r="52" spans="1:1" ht="15" customHeight="1" x14ac:dyDescent="0.75">
      <c r="A52" s="1"/>
    </row>
    <row r="53" spans="1:1" ht="15" customHeight="1" x14ac:dyDescent="0.75">
      <c r="A53" s="1"/>
    </row>
    <row r="54" spans="1:1" ht="15" customHeight="1" x14ac:dyDescent="0.75">
      <c r="A54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23B58-ABB2-439D-A850-B3F3D75297BD}">
  <dimension ref="B1:G52"/>
  <sheetViews>
    <sheetView topLeftCell="A43" workbookViewId="0">
      <selection activeCell="B1" sqref="B1:G52"/>
    </sheetView>
  </sheetViews>
  <sheetFormatPr defaultRowHeight="14.75" x14ac:dyDescent="0.75"/>
  <sheetData>
    <row r="1" spans="2:7" x14ac:dyDescent="0.75">
      <c r="B1" t="s">
        <v>61</v>
      </c>
      <c r="C1">
        <v>47</v>
      </c>
      <c r="D1">
        <v>74849.990000000005</v>
      </c>
      <c r="E1">
        <v>80228.67</v>
      </c>
      <c r="F1">
        <v>32900.07</v>
      </c>
      <c r="G1">
        <v>144372.06</v>
      </c>
    </row>
    <row r="2" spans="2:7" x14ac:dyDescent="0.75">
      <c r="B2" t="s">
        <v>62</v>
      </c>
      <c r="C2">
        <v>47</v>
      </c>
      <c r="D2">
        <v>1.7666399999999999E-2</v>
      </c>
      <c r="E2">
        <v>1.9103499999999999E-2</v>
      </c>
      <c r="F2">
        <v>7.8504000000000004E-3</v>
      </c>
      <c r="G2">
        <v>3.3205400000000003E-2</v>
      </c>
    </row>
    <row r="3" spans="2:7" x14ac:dyDescent="0.75">
      <c r="B3" t="s">
        <v>63</v>
      </c>
      <c r="C3">
        <v>47</v>
      </c>
      <c r="D3">
        <v>3.01138E-2</v>
      </c>
      <c r="E3">
        <v>3.2914600000000002E-2</v>
      </c>
      <c r="F3">
        <v>1.60047E-2</v>
      </c>
      <c r="G3">
        <v>5.8942399999999999E-2</v>
      </c>
    </row>
    <row r="4" spans="2:7" x14ac:dyDescent="0.75">
      <c r="B4" t="s">
        <v>64</v>
      </c>
      <c r="C4">
        <v>47</v>
      </c>
      <c r="D4">
        <v>5.8314602000000004</v>
      </c>
      <c r="E4">
        <v>5.9553149000000003</v>
      </c>
      <c r="F4">
        <v>3.4853139</v>
      </c>
      <c r="G4">
        <v>8.1275233999999994</v>
      </c>
    </row>
    <row r="5" spans="2:7" x14ac:dyDescent="0.75">
      <c r="B5" t="s">
        <v>65</v>
      </c>
      <c r="C5">
        <v>47</v>
      </c>
      <c r="D5">
        <v>6.7755899999999994E-2</v>
      </c>
      <c r="E5">
        <v>6.6768300000000003E-2</v>
      </c>
      <c r="F5">
        <v>4.1542599999999999E-2</v>
      </c>
      <c r="G5">
        <v>9.5597500000000002E-2</v>
      </c>
    </row>
    <row r="6" spans="2:7" x14ac:dyDescent="0.75">
      <c r="B6" t="s">
        <v>66</v>
      </c>
      <c r="C6">
        <v>47</v>
      </c>
      <c r="D6">
        <v>0.1874826</v>
      </c>
      <c r="E6">
        <v>0.1948076</v>
      </c>
      <c r="F6">
        <v>0.14311180000000001</v>
      </c>
      <c r="G6">
        <v>0.25082759999999998</v>
      </c>
    </row>
    <row r="7" spans="2:7" x14ac:dyDescent="0.75">
      <c r="B7" t="s">
        <v>67</v>
      </c>
      <c r="C7">
        <v>47</v>
      </c>
      <c r="D7">
        <v>0.19598689999999999</v>
      </c>
      <c r="E7">
        <v>0.19535859999999999</v>
      </c>
      <c r="F7">
        <v>0.15713650000000001</v>
      </c>
      <c r="G7">
        <v>0.23594709999999999</v>
      </c>
    </row>
    <row r="8" spans="2:7" x14ac:dyDescent="0.75">
      <c r="B8" t="s">
        <v>68</v>
      </c>
      <c r="C8">
        <v>47</v>
      </c>
      <c r="D8">
        <v>0.31440170000000001</v>
      </c>
      <c r="E8">
        <v>0.3140155</v>
      </c>
      <c r="F8">
        <v>0.24445639999999999</v>
      </c>
      <c r="G8">
        <v>0.39627479999999998</v>
      </c>
    </row>
    <row r="9" spans="2:7" x14ac:dyDescent="0.75">
      <c r="B9" t="s">
        <v>69</v>
      </c>
      <c r="C9">
        <v>47</v>
      </c>
      <c r="D9">
        <v>0.22851260000000001</v>
      </c>
      <c r="E9">
        <v>0.22905010000000001</v>
      </c>
      <c r="F9">
        <v>0.1705603</v>
      </c>
      <c r="G9">
        <v>0.28510849999999999</v>
      </c>
    </row>
    <row r="10" spans="2:7" x14ac:dyDescent="0.75">
      <c r="B10" t="s">
        <v>70</v>
      </c>
      <c r="C10">
        <v>47</v>
      </c>
      <c r="D10">
        <v>0.35453630000000003</v>
      </c>
      <c r="E10">
        <v>0.35110219999999998</v>
      </c>
      <c r="F10">
        <v>0.27329589999999998</v>
      </c>
      <c r="G10">
        <v>0.41913800000000001</v>
      </c>
    </row>
    <row r="11" spans="2:7" x14ac:dyDescent="0.75">
      <c r="B11" t="s">
        <v>71</v>
      </c>
      <c r="C11">
        <v>47</v>
      </c>
      <c r="D11">
        <v>0.47274050000000001</v>
      </c>
      <c r="E11">
        <v>0.47416629999999999</v>
      </c>
      <c r="F11">
        <v>0.41346159999999998</v>
      </c>
      <c r="G11">
        <v>0.51948340000000004</v>
      </c>
    </row>
    <row r="12" spans="2:7" x14ac:dyDescent="0.75">
      <c r="B12" t="s">
        <v>72</v>
      </c>
      <c r="C12">
        <v>47</v>
      </c>
      <c r="D12">
        <v>0.12366829999999999</v>
      </c>
      <c r="E12">
        <v>0.12922710000000001</v>
      </c>
      <c r="F12">
        <v>9.5834600000000006E-2</v>
      </c>
      <c r="G12">
        <v>0.181003</v>
      </c>
    </row>
    <row r="13" spans="2:7" x14ac:dyDescent="0.75">
      <c r="B13" t="s">
        <v>73</v>
      </c>
      <c r="C13">
        <v>47</v>
      </c>
      <c r="D13">
        <v>4.1957500000000002E-2</v>
      </c>
      <c r="E13">
        <v>4.55044E-2</v>
      </c>
      <c r="F13">
        <v>1.9496300000000001E-2</v>
      </c>
      <c r="G13">
        <v>7.43954E-2</v>
      </c>
    </row>
    <row r="14" spans="2:7" x14ac:dyDescent="0.75">
      <c r="B14" t="s">
        <v>74</v>
      </c>
      <c r="C14">
        <v>47</v>
      </c>
      <c r="D14">
        <v>0.25223689999999999</v>
      </c>
      <c r="E14">
        <v>0.2637987</v>
      </c>
      <c r="F14">
        <v>0.20342830000000001</v>
      </c>
      <c r="G14">
        <v>0.37708049999999999</v>
      </c>
    </row>
    <row r="15" spans="2:7" x14ac:dyDescent="0.75">
      <c r="B15" t="s">
        <v>75</v>
      </c>
      <c r="C15">
        <v>47</v>
      </c>
      <c r="D15">
        <v>0.20374139999999999</v>
      </c>
      <c r="E15">
        <v>0.20178099999999999</v>
      </c>
      <c r="F15">
        <v>0.14680869999999999</v>
      </c>
      <c r="G15">
        <v>0.24986430000000001</v>
      </c>
    </row>
    <row r="16" spans="2:7" x14ac:dyDescent="0.75">
      <c r="B16" t="s">
        <v>76</v>
      </c>
      <c r="C16">
        <v>47</v>
      </c>
      <c r="D16">
        <v>0.16237550000000001</v>
      </c>
      <c r="E16">
        <v>0.1646311</v>
      </c>
      <c r="F16">
        <v>0.12627659999999999</v>
      </c>
      <c r="G16">
        <v>0.21144750000000001</v>
      </c>
    </row>
    <row r="17" spans="2:7" x14ac:dyDescent="0.75">
      <c r="B17" t="s">
        <v>77</v>
      </c>
      <c r="C17">
        <v>47</v>
      </c>
      <c r="D17">
        <v>0.23992250000000001</v>
      </c>
      <c r="E17">
        <v>0.2336481</v>
      </c>
      <c r="F17">
        <v>0.13624030000000001</v>
      </c>
      <c r="G17">
        <v>0.3037456</v>
      </c>
    </row>
    <row r="18" spans="2:7" x14ac:dyDescent="0.75">
      <c r="B18" t="s">
        <v>78</v>
      </c>
      <c r="C18">
        <v>47</v>
      </c>
      <c r="D18">
        <v>0.54610599999999998</v>
      </c>
      <c r="E18">
        <v>0.52100469999999999</v>
      </c>
      <c r="F18">
        <v>0.13062940000000001</v>
      </c>
      <c r="G18">
        <v>0.70582290000000003</v>
      </c>
    </row>
    <row r="19" spans="2:7" x14ac:dyDescent="0.75">
      <c r="B19" t="s">
        <v>79</v>
      </c>
      <c r="C19">
        <v>47</v>
      </c>
      <c r="D19">
        <v>8.7848800000000005E-2</v>
      </c>
      <c r="E19">
        <v>9.2142299999999996E-2</v>
      </c>
      <c r="F19">
        <v>3.8619800000000003E-2</v>
      </c>
      <c r="G19">
        <v>0.16149160000000001</v>
      </c>
    </row>
    <row r="20" spans="2:7" x14ac:dyDescent="0.75">
      <c r="B20" t="s">
        <v>80</v>
      </c>
      <c r="C20">
        <v>47</v>
      </c>
      <c r="D20">
        <v>7.1835800000000005E-2</v>
      </c>
      <c r="E20">
        <v>8.4169300000000002E-2</v>
      </c>
      <c r="F20">
        <v>3.6687200000000003E-2</v>
      </c>
      <c r="G20">
        <v>0.15189130000000001</v>
      </c>
    </row>
    <row r="21" spans="2:7" x14ac:dyDescent="0.75">
      <c r="B21" t="s">
        <v>81</v>
      </c>
      <c r="C21">
        <v>47</v>
      </c>
      <c r="D21">
        <v>3.8447211999999999</v>
      </c>
      <c r="E21">
        <v>4.7481042000000002</v>
      </c>
      <c r="F21">
        <v>0</v>
      </c>
      <c r="G21">
        <v>9.2470107000000006</v>
      </c>
    </row>
    <row r="22" spans="2:7" x14ac:dyDescent="0.75">
      <c r="B22" t="s">
        <v>82</v>
      </c>
      <c r="C22">
        <v>47</v>
      </c>
      <c r="D22">
        <v>0.4121454</v>
      </c>
      <c r="E22">
        <v>0.42592249999999998</v>
      </c>
      <c r="F22">
        <v>0.23752670000000001</v>
      </c>
      <c r="G22">
        <v>0.60674059999999996</v>
      </c>
    </row>
    <row r="23" spans="2:7" x14ac:dyDescent="0.75">
      <c r="B23" t="s">
        <v>83</v>
      </c>
      <c r="C23">
        <v>47</v>
      </c>
      <c r="D23">
        <v>0.93969650000000005</v>
      </c>
      <c r="E23">
        <v>0.93380770000000002</v>
      </c>
      <c r="F23">
        <v>0.8529736</v>
      </c>
      <c r="G23">
        <v>0.98713700000000004</v>
      </c>
    </row>
    <row r="24" spans="2:7" x14ac:dyDescent="0.75">
      <c r="B24" t="s">
        <v>84</v>
      </c>
      <c r="C24">
        <v>47</v>
      </c>
      <c r="D24">
        <v>0.93958969999999997</v>
      </c>
      <c r="E24">
        <v>0.92886120000000005</v>
      </c>
      <c r="F24">
        <v>0.80427329999999997</v>
      </c>
      <c r="G24">
        <v>0.98652309999999999</v>
      </c>
    </row>
    <row r="25" spans="2:7" x14ac:dyDescent="0.75">
      <c r="B25" t="s">
        <v>85</v>
      </c>
      <c r="C25">
        <v>47</v>
      </c>
      <c r="D25">
        <v>0.99198310000000001</v>
      </c>
      <c r="E25">
        <v>0.98285440000000002</v>
      </c>
      <c r="F25">
        <v>0.91771610000000003</v>
      </c>
      <c r="G25">
        <v>1</v>
      </c>
    </row>
    <row r="26" spans="2:7" x14ac:dyDescent="0.75">
      <c r="B26" t="s">
        <v>86</v>
      </c>
      <c r="C26">
        <v>47</v>
      </c>
      <c r="D26">
        <v>0.81474619999999998</v>
      </c>
      <c r="E26">
        <v>0.75357280000000004</v>
      </c>
      <c r="F26">
        <v>0</v>
      </c>
      <c r="G26">
        <v>0.91530549999999999</v>
      </c>
    </row>
    <row r="27" spans="2:7" x14ac:dyDescent="0.75">
      <c r="B27" t="s">
        <v>87</v>
      </c>
      <c r="C27">
        <v>47</v>
      </c>
      <c r="D27">
        <v>108395.79</v>
      </c>
      <c r="E27">
        <v>114479.64</v>
      </c>
      <c r="F27">
        <v>38805.4</v>
      </c>
      <c r="G27">
        <v>210889</v>
      </c>
    </row>
    <row r="28" spans="2:7" x14ac:dyDescent="0.75">
      <c r="B28" t="s">
        <v>88</v>
      </c>
      <c r="C28">
        <v>47</v>
      </c>
      <c r="D28">
        <v>2.5537399999999998E-2</v>
      </c>
      <c r="E28">
        <v>2.72582E-2</v>
      </c>
      <c r="F28">
        <v>9.1371999999999998E-3</v>
      </c>
      <c r="G28">
        <v>4.9231200000000003E-2</v>
      </c>
    </row>
    <row r="29" spans="2:7" x14ac:dyDescent="0.75">
      <c r="B29" t="s">
        <v>89</v>
      </c>
      <c r="C29">
        <v>47</v>
      </c>
      <c r="D29">
        <v>3.4463000000000001E-2</v>
      </c>
      <c r="E29">
        <v>3.57916E-2</v>
      </c>
      <c r="F29">
        <v>1.51825E-2</v>
      </c>
      <c r="G29">
        <v>6.0038899999999999E-2</v>
      </c>
    </row>
    <row r="30" spans="2:7" x14ac:dyDescent="0.75">
      <c r="B30" t="s">
        <v>90</v>
      </c>
      <c r="C30">
        <v>47</v>
      </c>
      <c r="D30">
        <v>8.5579537000000006</v>
      </c>
      <c r="E30">
        <v>8.5197040000000008</v>
      </c>
      <c r="F30">
        <v>6.1292980999999997</v>
      </c>
      <c r="G30">
        <v>10.3849885</v>
      </c>
    </row>
    <row r="31" spans="2:7" x14ac:dyDescent="0.75">
      <c r="B31" t="s">
        <v>91</v>
      </c>
      <c r="C31">
        <v>47</v>
      </c>
      <c r="D31">
        <v>5.7121100000000001E-2</v>
      </c>
      <c r="E31">
        <v>5.9451400000000001E-2</v>
      </c>
      <c r="F31">
        <v>2.9858200000000001E-2</v>
      </c>
      <c r="G31">
        <v>8.9373099999999997E-2</v>
      </c>
    </row>
    <row r="32" spans="2:7" x14ac:dyDescent="0.75">
      <c r="B32" t="s">
        <v>92</v>
      </c>
      <c r="C32">
        <v>47</v>
      </c>
      <c r="D32">
        <v>0.16592599999999999</v>
      </c>
      <c r="E32">
        <v>0.1647265</v>
      </c>
      <c r="F32">
        <v>0.12906229999999999</v>
      </c>
      <c r="G32">
        <v>0.20029810000000001</v>
      </c>
    </row>
    <row r="33" spans="2:7" x14ac:dyDescent="0.75">
      <c r="B33" t="s">
        <v>93</v>
      </c>
      <c r="C33">
        <v>47</v>
      </c>
      <c r="D33">
        <v>0.18781339999999999</v>
      </c>
      <c r="E33">
        <v>0.19298650000000001</v>
      </c>
      <c r="F33">
        <v>0.14793519999999999</v>
      </c>
      <c r="G33">
        <v>0.24019940000000001</v>
      </c>
    </row>
    <row r="34" spans="2:7" x14ac:dyDescent="0.75">
      <c r="B34" t="s">
        <v>94</v>
      </c>
      <c r="C34">
        <v>47</v>
      </c>
      <c r="D34">
        <v>0.33127450000000003</v>
      </c>
      <c r="E34">
        <v>0.331482</v>
      </c>
      <c r="F34">
        <v>0.2930545</v>
      </c>
      <c r="G34">
        <v>0.37606260000000002</v>
      </c>
    </row>
    <row r="35" spans="2:7" x14ac:dyDescent="0.75">
      <c r="B35" t="s">
        <v>95</v>
      </c>
      <c r="C35">
        <v>47</v>
      </c>
      <c r="D35">
        <v>0.25088709999999997</v>
      </c>
      <c r="E35">
        <v>0.25135360000000001</v>
      </c>
      <c r="F35">
        <v>0.19517590000000001</v>
      </c>
      <c r="G35">
        <v>0.33729629999999999</v>
      </c>
    </row>
    <row r="36" spans="2:7" x14ac:dyDescent="0.75">
      <c r="B36" t="s">
        <v>96</v>
      </c>
      <c r="C36">
        <v>47</v>
      </c>
      <c r="D36">
        <v>0.35626170000000001</v>
      </c>
      <c r="E36">
        <v>0.35831180000000001</v>
      </c>
      <c r="F36">
        <v>0.29751830000000001</v>
      </c>
      <c r="G36">
        <v>0.41541280000000003</v>
      </c>
    </row>
    <row r="37" spans="2:7" x14ac:dyDescent="0.75">
      <c r="B37" t="s">
        <v>97</v>
      </c>
      <c r="C37">
        <v>47</v>
      </c>
      <c r="D37">
        <v>0.48758859999999998</v>
      </c>
      <c r="E37">
        <v>0.48069849999999997</v>
      </c>
      <c r="F37">
        <v>0.43139509999999998</v>
      </c>
      <c r="G37">
        <v>0.53154710000000005</v>
      </c>
    </row>
    <row r="38" spans="2:7" x14ac:dyDescent="0.75">
      <c r="B38" t="s">
        <v>98</v>
      </c>
      <c r="C38">
        <v>47</v>
      </c>
      <c r="D38">
        <v>0.11863659999999999</v>
      </c>
      <c r="E38">
        <v>0.1210125</v>
      </c>
      <c r="F38">
        <v>8.8649599999999995E-2</v>
      </c>
      <c r="G38">
        <v>0.164571</v>
      </c>
    </row>
    <row r="39" spans="2:7" x14ac:dyDescent="0.75">
      <c r="B39" t="s">
        <v>99</v>
      </c>
      <c r="C39">
        <v>47</v>
      </c>
      <c r="D39">
        <v>3.8494100000000003E-2</v>
      </c>
      <c r="E39">
        <v>3.9977199999999997E-2</v>
      </c>
      <c r="F39">
        <v>1.8588E-2</v>
      </c>
      <c r="G39">
        <v>6.05348E-2</v>
      </c>
    </row>
    <row r="40" spans="2:7" x14ac:dyDescent="0.75">
      <c r="B40" t="s">
        <v>100</v>
      </c>
      <c r="C40">
        <v>47</v>
      </c>
      <c r="D40">
        <v>0.21307200000000001</v>
      </c>
      <c r="E40">
        <v>0.21684800000000001</v>
      </c>
      <c r="F40">
        <v>0.16725490000000001</v>
      </c>
      <c r="G40">
        <v>0.28214040000000001</v>
      </c>
    </row>
    <row r="41" spans="2:7" x14ac:dyDescent="0.75">
      <c r="B41" t="s">
        <v>101</v>
      </c>
      <c r="C41">
        <v>47</v>
      </c>
      <c r="D41">
        <v>0.1740092</v>
      </c>
      <c r="E41">
        <v>0.18003269999999999</v>
      </c>
      <c r="F41">
        <v>0.1453885</v>
      </c>
      <c r="G41">
        <v>0.2341674</v>
      </c>
    </row>
    <row r="42" spans="2:7" x14ac:dyDescent="0.75">
      <c r="B42" t="s">
        <v>102</v>
      </c>
      <c r="C42">
        <v>47</v>
      </c>
      <c r="D42">
        <v>0.18210989999999999</v>
      </c>
      <c r="E42">
        <v>0.18436859999999999</v>
      </c>
      <c r="F42">
        <v>0.14893429999999999</v>
      </c>
      <c r="G42">
        <v>0.22518060000000001</v>
      </c>
    </row>
    <row r="43" spans="2:7" x14ac:dyDescent="0.75">
      <c r="B43" t="s">
        <v>103</v>
      </c>
      <c r="C43">
        <v>47</v>
      </c>
      <c r="D43">
        <v>0.27390969999999998</v>
      </c>
      <c r="E43">
        <v>0.26749040000000002</v>
      </c>
      <c r="F43">
        <v>0.17833689999999999</v>
      </c>
      <c r="G43">
        <v>0.31734390000000001</v>
      </c>
    </row>
    <row r="44" spans="2:7" x14ac:dyDescent="0.75">
      <c r="B44" t="s">
        <v>104</v>
      </c>
      <c r="C44">
        <v>47</v>
      </c>
      <c r="D44">
        <v>0.38116889999999998</v>
      </c>
      <c r="E44">
        <v>0.38284869999999999</v>
      </c>
      <c r="F44">
        <v>0.2654821</v>
      </c>
      <c r="G44">
        <v>0.53653819999999997</v>
      </c>
    </row>
    <row r="45" spans="2:7" x14ac:dyDescent="0.75">
      <c r="B45" t="s">
        <v>105</v>
      </c>
      <c r="C45">
        <v>47</v>
      </c>
      <c r="D45">
        <v>3.0357100000000001E-2</v>
      </c>
      <c r="E45">
        <v>3.3865699999999999E-2</v>
      </c>
      <c r="F45">
        <v>1.0182E-2</v>
      </c>
      <c r="G45">
        <v>6.7599500000000007E-2</v>
      </c>
    </row>
    <row r="46" spans="2:7" x14ac:dyDescent="0.75">
      <c r="B46" t="s">
        <v>106</v>
      </c>
      <c r="C46">
        <v>47</v>
      </c>
      <c r="D46">
        <v>0.15311469999999999</v>
      </c>
      <c r="E46">
        <v>0.14939659999999999</v>
      </c>
      <c r="F46">
        <v>8.2189600000000002E-2</v>
      </c>
      <c r="G46">
        <v>0.20427319999999999</v>
      </c>
    </row>
    <row r="47" spans="2:7" x14ac:dyDescent="0.75">
      <c r="B47" t="s">
        <v>107</v>
      </c>
      <c r="C47">
        <v>47</v>
      </c>
      <c r="D47">
        <v>4.4444444000000001</v>
      </c>
      <c r="E47">
        <v>5.6444464999999999</v>
      </c>
      <c r="F47">
        <v>1.5706806</v>
      </c>
      <c r="G47">
        <v>14.292087</v>
      </c>
    </row>
    <row r="48" spans="2:7" x14ac:dyDescent="0.75">
      <c r="B48" t="s">
        <v>108</v>
      </c>
      <c r="C48">
        <v>47</v>
      </c>
      <c r="D48">
        <v>0.48084729999999998</v>
      </c>
      <c r="E48">
        <v>0.48672890000000002</v>
      </c>
      <c r="F48">
        <v>0.31200420000000001</v>
      </c>
      <c r="G48">
        <v>0.6968993</v>
      </c>
    </row>
    <row r="49" spans="2:7" x14ac:dyDescent="0.75">
      <c r="B49" t="s">
        <v>109</v>
      </c>
      <c r="C49">
        <v>47</v>
      </c>
      <c r="D49">
        <v>0.92972069999999996</v>
      </c>
      <c r="E49">
        <v>0.92179929999999999</v>
      </c>
      <c r="F49">
        <v>0.86795560000000005</v>
      </c>
      <c r="G49">
        <v>0.9678272</v>
      </c>
    </row>
    <row r="50" spans="2:7" x14ac:dyDescent="0.75">
      <c r="B50" t="s">
        <v>110</v>
      </c>
      <c r="C50">
        <v>47</v>
      </c>
      <c r="D50">
        <v>0.91359509999999999</v>
      </c>
      <c r="E50">
        <v>0.88607440000000004</v>
      </c>
      <c r="F50">
        <v>0.71411970000000002</v>
      </c>
      <c r="G50">
        <v>0.96642749999999999</v>
      </c>
    </row>
    <row r="51" spans="2:7" x14ac:dyDescent="0.75">
      <c r="B51" t="s">
        <v>111</v>
      </c>
      <c r="C51">
        <v>47</v>
      </c>
      <c r="D51">
        <v>0.97590169999999998</v>
      </c>
      <c r="E51">
        <v>0.97025779999999995</v>
      </c>
      <c r="F51">
        <v>0.924431</v>
      </c>
      <c r="G51">
        <v>0.99418600000000001</v>
      </c>
    </row>
    <row r="52" spans="2:7" x14ac:dyDescent="0.75">
      <c r="B52" t="s">
        <v>112</v>
      </c>
      <c r="C52">
        <v>47</v>
      </c>
      <c r="D52">
        <v>0</v>
      </c>
      <c r="E52">
        <v>0</v>
      </c>
      <c r="F52">
        <v>0</v>
      </c>
      <c r="G5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</vt:lpstr>
      <vt:lpstr>clean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Loveleen Bansi- Matharu</dc:creator>
  <cp:lastModifiedBy>Loveleen .</cp:lastModifiedBy>
  <dcterms:created xsi:type="dcterms:W3CDTF">2026-06-29T14:24:12Z</dcterms:created>
  <dcterms:modified xsi:type="dcterms:W3CDTF">2026-07-27T12:37:22Z</dcterms:modified>
</cp:coreProperties>
</file>