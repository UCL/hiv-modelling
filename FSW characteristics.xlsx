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vel\Documents\GitHub\hiv-modelling\"/>
    </mc:Choice>
  </mc:AlternateContent>
  <xr:revisionPtr revIDLastSave="0" documentId="8_{8D55BF88-A1F2-4893-A3E1-1947E0FE8FCE}" xr6:coauthVersionLast="47" xr6:coauthVersionMax="47" xr10:uidLastSave="{00000000-0000-0000-0000-000000000000}"/>
  <bookViews>
    <workbookView xWindow="-90" yWindow="-90" windowWidth="19380" windowHeight="11460" activeTab="1" xr2:uid="{F092BB82-033B-4CB9-BD3B-04613BC11C15}"/>
  </bookViews>
  <sheets>
    <sheet name="raw" sheetId="1" r:id="rId1"/>
    <sheet name="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3" i="2"/>
  <c r="H28" i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3" i="1"/>
  <c r="H2" i="1"/>
</calcChain>
</file>

<file path=xl/sharedStrings.xml><?xml version="1.0" encoding="utf-8"?>
<sst xmlns="http://schemas.openxmlformats.org/spreadsheetml/2006/main" count="114" uniqueCount="87">
  <si>
    <t>_sw_1549__26</t>
  </si>
  <si>
    <t>prop_w_1549_sw_26</t>
  </si>
  <si>
    <t>prop_w_ever_sw_26</t>
  </si>
  <si>
    <t>act_dur_sw_26</t>
  </si>
  <si>
    <t>p_sw_age1519__26</t>
  </si>
  <si>
    <t>p_sw_age2024__26</t>
  </si>
  <si>
    <t>p_sw_age2529__26</t>
  </si>
  <si>
    <t>p_sw_age3039__26</t>
  </si>
  <si>
    <t>p_sw_age40pl__26</t>
  </si>
  <si>
    <t>p_age_deb_sw1519__26</t>
  </si>
  <si>
    <t>p_age_deb_sw2029__26</t>
  </si>
  <si>
    <t>p_age_deb_sw3039__26</t>
  </si>
  <si>
    <t>p_age_deb_sw40pl__26</t>
  </si>
  <si>
    <t>p_totdur_0to3_sw_26</t>
  </si>
  <si>
    <t>p_totdur_3to5_sw_26</t>
  </si>
  <si>
    <t>p_totdur_6to9_sw_26</t>
  </si>
  <si>
    <t>p_totdur_10to19_sw_26</t>
  </si>
  <si>
    <t>p_fsw_newp0__26</t>
  </si>
  <si>
    <t>prop_sw_onprep_26</t>
  </si>
  <si>
    <t>p_sti_sw_26</t>
  </si>
  <si>
    <t>incidence_sw_26</t>
  </si>
  <si>
    <t>prevalence_sw_26</t>
  </si>
  <si>
    <t>p_diag_sw_26</t>
  </si>
  <si>
    <t>p_onart_diag_sw_26</t>
  </si>
  <si>
    <t>p_onart_vl1000_sw_26</t>
  </si>
  <si>
    <t>p_sw_prog_vis_26</t>
  </si>
  <si>
    <t>n_esw_1549__26</t>
  </si>
  <si>
    <t>prop_w_1549_esw_26</t>
  </si>
  <si>
    <t>prop_w_ever_esw_26</t>
  </si>
  <si>
    <t>act_dur_esw_26</t>
  </si>
  <si>
    <t>p_esw_age1519__26</t>
  </si>
  <si>
    <t>p_esw_age2024__26</t>
  </si>
  <si>
    <t>p_esw_age2529__26</t>
  </si>
  <si>
    <t>p_esw_age3039__26</t>
  </si>
  <si>
    <t>p_esw_age40pl__26</t>
  </si>
  <si>
    <t>p_age_deb_esw1519__26</t>
  </si>
  <si>
    <t>p_age_deb_esw2029__26</t>
  </si>
  <si>
    <t>p_age_deb_esw3039__26</t>
  </si>
  <si>
    <t>p_age_deb_esw40pl__26</t>
  </si>
  <si>
    <t>p_totdur_0to3_esw_26</t>
  </si>
  <si>
    <t>p_totdur_3to5_esw_26</t>
  </si>
  <si>
    <t>p_totdur_6to9_esw_26</t>
  </si>
  <si>
    <t>p_totdur_10to19_esw_26</t>
  </si>
  <si>
    <t>p_esw_newp0__26</t>
  </si>
  <si>
    <t>prop_esw_onprep_26</t>
  </si>
  <si>
    <t>p_sti_esw_26</t>
  </si>
  <si>
    <t>incidence_esw_26</t>
  </si>
  <si>
    <t>prevalence_esw_26</t>
  </si>
  <si>
    <t>p_diag_esw_26</t>
  </si>
  <si>
    <t>p_onart_diag_esw_26</t>
  </si>
  <si>
    <t>p_onart_vl1000_esw_26</t>
  </si>
  <si>
    <t>p_esw_prog_vis_26</t>
  </si>
  <si>
    <t>'</t>
  </si>
  <si>
    <t>Runs</t>
  </si>
  <si>
    <t>Median</t>
  </si>
  <si>
    <t>Mean</t>
  </si>
  <si>
    <t>5th centile</t>
  </si>
  <si>
    <t>95th centile</t>
  </si>
  <si>
    <t>Number of all women who are currently SW/ESW</t>
  </si>
  <si>
    <t>Proportion of all women who have ever been SW/ESW</t>
  </si>
  <si>
    <t>Proportion of all women who are currently SW/ ESW</t>
  </si>
  <si>
    <t>Active duration of sex work</t>
  </si>
  <si>
    <t>Proportion of SW/ESW aged 15-19</t>
  </si>
  <si>
    <t>Proportion of SW/ESW aged 20-24</t>
  </si>
  <si>
    <t>Proportion of SW/ESW aged 25-29</t>
  </si>
  <si>
    <t>Proportion of SW/ESW aged 40 plus</t>
  </si>
  <si>
    <t>Proportion of SW/ESW aged 30-39</t>
  </si>
  <si>
    <t>Age debut of SW/ESW 15-19</t>
  </si>
  <si>
    <t>Age debut of SW/ESW 20-29</t>
  </si>
  <si>
    <t>Age debut of SW/ESW 30-39</t>
  </si>
  <si>
    <t>Age debut of SW/ESW 40 plus</t>
  </si>
  <si>
    <t>Duration 0-3 years</t>
  </si>
  <si>
    <t>Duration 3-5 years</t>
  </si>
  <si>
    <t>Duration 6-9 years</t>
  </si>
  <si>
    <t>Duration 10-19 years</t>
  </si>
  <si>
    <t>Proportion with 0 condomless partners</t>
  </si>
  <si>
    <t>Proportion on PrEP</t>
  </si>
  <si>
    <t>Proportion with STI</t>
  </si>
  <si>
    <t>Incidence</t>
  </si>
  <si>
    <t>Prevalence</t>
  </si>
  <si>
    <t>Proportion diagnosed</t>
  </si>
  <si>
    <t>Proportion on ART</t>
  </si>
  <si>
    <t>Proportion virally suppressed</t>
  </si>
  <si>
    <t>Proportion with a SW program visit</t>
  </si>
  <si>
    <t>sex workers</t>
  </si>
  <si>
    <t>women on edge of sex work</t>
  </si>
  <si>
    <t>Mean (90%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</si>
</sst>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top" wrapText="1"/>
    </xf>
    <xf numFmtId="1" fontId="0" fillId="0" borderId="0" xfId="0" applyNumberFormat="1"/>
    <xf numFmtId="1" fontId="0" fillId="0" borderId="0" xfId="0" applyNumberFormat="1" applyAlignment="1">
      <alignment vertical="top" wrapText="1"/>
    </xf>
    <xf numFmtId="2" fontId="0" fillId="0" borderId="0" xfId="0" applyNumberFormat="1"/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F2DE-706C-43DE-90D3-CD2A61F6FD02}">
  <dimension ref="A1:H55"/>
  <sheetViews>
    <sheetView topLeftCell="A13" workbookViewId="0">
      <selection activeCell="H28" sqref="H28"/>
    </sheetView>
  </sheetViews>
  <sheetFormatPr defaultRowHeight="14.75" x14ac:dyDescent="0.75"/>
  <cols>
    <col min="1" max="1" width="24.31640625" customWidth="1"/>
    <col min="3" max="4" width="9.1796875" style="7" bestFit="1" customWidth="1"/>
    <col min="5" max="5" width="8.76953125" style="7" bestFit="1" customWidth="1"/>
    <col min="6" max="6" width="10.2265625" style="7" bestFit="1" customWidth="1"/>
  </cols>
  <sheetData>
    <row r="1" spans="1:8" x14ac:dyDescent="0.75">
      <c r="B1" t="s">
        <v>53</v>
      </c>
      <c r="C1" s="7" t="s">
        <v>54</v>
      </c>
      <c r="D1" s="7" t="s">
        <v>55</v>
      </c>
      <c r="E1" s="7" t="s">
        <v>56</v>
      </c>
      <c r="F1" s="7" t="s">
        <v>57</v>
      </c>
    </row>
    <row r="2" spans="1:8" x14ac:dyDescent="0.75">
      <c r="A2" s="1" t="s">
        <v>0</v>
      </c>
      <c r="B2" s="2">
        <v>10</v>
      </c>
      <c r="C2" s="6">
        <v>49260.800000000003</v>
      </c>
      <c r="D2" s="6">
        <v>56123.12</v>
      </c>
      <c r="E2" s="6">
        <v>16332.04</v>
      </c>
      <c r="F2" s="6">
        <v>151220.68</v>
      </c>
      <c r="H2" t="str">
        <f>TEXT(D2,"0") &amp; " (" &amp; TEXT(E2,"0") &amp; ", " &amp; TEXT(F2,"0") &amp; ")"</f>
        <v>56123 (16332, 151221)</v>
      </c>
    </row>
    <row r="3" spans="1:8" x14ac:dyDescent="0.75">
      <c r="A3" s="1" t="s">
        <v>1</v>
      </c>
      <c r="B3" s="2">
        <v>10</v>
      </c>
      <c r="C3" s="8">
        <v>1.12332E-2</v>
      </c>
      <c r="D3" s="8">
        <v>1.27464E-2</v>
      </c>
      <c r="E3" s="8">
        <v>3.8080000000000002E-3</v>
      </c>
      <c r="F3" s="8">
        <v>3.3379899999999997E-2</v>
      </c>
      <c r="H3" t="str">
        <f>TEXT(D3,"0.00") &amp; " (" &amp; TEXT(E3,"0.00") &amp; ", " &amp; TEXT(F3,"0.00") &amp; ")"</f>
        <v>0.01 (0.00, 0.03)</v>
      </c>
    </row>
    <row r="4" spans="1:8" x14ac:dyDescent="0.75">
      <c r="A4" s="1" t="s">
        <v>2</v>
      </c>
      <c r="B4" s="2">
        <v>10</v>
      </c>
      <c r="C4" s="8">
        <v>2.0554800000000002E-2</v>
      </c>
      <c r="D4" s="8">
        <v>2.29363E-2</v>
      </c>
      <c r="E4" s="8">
        <v>1.53533E-2</v>
      </c>
      <c r="F4" s="8">
        <v>4.67623E-2</v>
      </c>
      <c r="H4" t="str">
        <f t="shared" ref="H4:H53" si="0">TEXT(D4,"0.00") &amp; " (" &amp; TEXT(E4,"0.00") &amp; ", " &amp; TEXT(F4,"0.00") &amp; ")"</f>
        <v>0.02 (0.02, 0.05)</v>
      </c>
    </row>
    <row r="5" spans="1:8" x14ac:dyDescent="0.75">
      <c r="A5" s="1" t="s">
        <v>3</v>
      </c>
      <c r="B5" s="2">
        <v>10</v>
      </c>
      <c r="C5" s="8">
        <v>5.9477679999999999</v>
      </c>
      <c r="D5" s="8">
        <v>5.9785900999999999</v>
      </c>
      <c r="E5" s="8">
        <v>2.9793387999999998</v>
      </c>
      <c r="F5" s="8">
        <v>9.2519492999999997</v>
      </c>
      <c r="H5" t="str">
        <f t="shared" si="0"/>
        <v>5.98 (2.98, 9.25)</v>
      </c>
    </row>
    <row r="6" spans="1:8" x14ac:dyDescent="0.75">
      <c r="A6" s="1" t="s">
        <v>4</v>
      </c>
      <c r="B6" s="2">
        <v>10</v>
      </c>
      <c r="C6" s="8">
        <v>6.4024700000000004E-2</v>
      </c>
      <c r="D6" s="8">
        <v>6.8570900000000004E-2</v>
      </c>
      <c r="E6" s="8">
        <v>3.7961500000000002E-2</v>
      </c>
      <c r="F6" s="8">
        <v>0.1078638</v>
      </c>
      <c r="H6" t="str">
        <f t="shared" si="0"/>
        <v>0.07 (0.04, 0.11)</v>
      </c>
    </row>
    <row r="7" spans="1:8" x14ac:dyDescent="0.75">
      <c r="A7" s="1" t="s">
        <v>5</v>
      </c>
      <c r="B7" s="2">
        <v>10</v>
      </c>
      <c r="C7" s="8">
        <v>0.18063190000000001</v>
      </c>
      <c r="D7" s="8">
        <v>0.20018920000000001</v>
      </c>
      <c r="E7" s="8">
        <v>0.14808260000000001</v>
      </c>
      <c r="F7" s="8">
        <v>0.29350389999999998</v>
      </c>
      <c r="H7" t="str">
        <f t="shared" si="0"/>
        <v>0.20 (0.15, 0.29)</v>
      </c>
    </row>
    <row r="8" spans="1:8" x14ac:dyDescent="0.75">
      <c r="A8" s="1" t="s">
        <v>6</v>
      </c>
      <c r="B8" s="2">
        <v>10</v>
      </c>
      <c r="C8" s="8">
        <v>0.19463910000000001</v>
      </c>
      <c r="D8" s="8">
        <v>0.1914457</v>
      </c>
      <c r="E8" s="8">
        <v>0.15155009999999999</v>
      </c>
      <c r="F8" s="8">
        <v>0.21649869999999999</v>
      </c>
      <c r="H8" t="str">
        <f t="shared" si="0"/>
        <v>0.19 (0.15, 0.22)</v>
      </c>
    </row>
    <row r="9" spans="1:8" x14ac:dyDescent="0.75">
      <c r="A9" s="1" t="s">
        <v>7</v>
      </c>
      <c r="B9" s="2">
        <v>10</v>
      </c>
      <c r="C9" s="8">
        <v>0.29900840000000001</v>
      </c>
      <c r="D9" s="8">
        <v>0.30631229999999998</v>
      </c>
      <c r="E9" s="8">
        <v>0.27597250000000001</v>
      </c>
      <c r="F9" s="8">
        <v>0.35101779999999999</v>
      </c>
      <c r="H9" t="str">
        <f t="shared" si="0"/>
        <v>0.31 (0.28, 0.35)</v>
      </c>
    </row>
    <row r="10" spans="1:8" x14ac:dyDescent="0.75">
      <c r="A10" s="1" t="s">
        <v>8</v>
      </c>
      <c r="B10" s="2">
        <v>10</v>
      </c>
      <c r="C10" s="8">
        <v>0.24693580000000001</v>
      </c>
      <c r="D10" s="8">
        <v>0.23348179999999999</v>
      </c>
      <c r="E10" s="8">
        <v>0.16741809999999999</v>
      </c>
      <c r="F10" s="8">
        <v>0.28306369999999997</v>
      </c>
      <c r="H10" t="str">
        <f t="shared" si="0"/>
        <v>0.23 (0.17, 0.28)</v>
      </c>
    </row>
    <row r="11" spans="1:8" x14ac:dyDescent="0.75">
      <c r="A11" s="1" t="s">
        <v>9</v>
      </c>
      <c r="B11" s="2">
        <v>10</v>
      </c>
      <c r="C11" s="8">
        <v>0.34391850000000002</v>
      </c>
      <c r="D11" s="8">
        <v>0.33931650000000002</v>
      </c>
      <c r="E11" s="8">
        <v>0.18793489999999999</v>
      </c>
      <c r="F11" s="8">
        <v>0.41931639999999998</v>
      </c>
      <c r="H11" t="str">
        <f t="shared" si="0"/>
        <v>0.34 (0.19, 0.42)</v>
      </c>
    </row>
    <row r="12" spans="1:8" x14ac:dyDescent="0.75">
      <c r="A12" s="1" t="s">
        <v>10</v>
      </c>
      <c r="B12" s="2">
        <v>10</v>
      </c>
      <c r="C12" s="8">
        <v>0.47456389999999998</v>
      </c>
      <c r="D12" s="8">
        <v>0.47237489999999999</v>
      </c>
      <c r="E12" s="8">
        <v>0.4042135</v>
      </c>
      <c r="F12" s="8">
        <v>0.54391319999999999</v>
      </c>
      <c r="H12" t="str">
        <f t="shared" si="0"/>
        <v>0.47 (0.40, 0.54)</v>
      </c>
    </row>
    <row r="13" spans="1:8" x14ac:dyDescent="0.75">
      <c r="A13" s="1" t="s">
        <v>11</v>
      </c>
      <c r="B13" s="2">
        <v>10</v>
      </c>
      <c r="C13" s="8">
        <v>0.12275999999999999</v>
      </c>
      <c r="D13" s="8">
        <v>0.13548360000000001</v>
      </c>
      <c r="E13" s="8">
        <v>9.11555E-2</v>
      </c>
      <c r="F13" s="8">
        <v>0.19674179999999999</v>
      </c>
      <c r="H13" t="str">
        <f t="shared" si="0"/>
        <v>0.14 (0.09, 0.20)</v>
      </c>
    </row>
    <row r="14" spans="1:8" x14ac:dyDescent="0.75">
      <c r="A14" s="1" t="s">
        <v>12</v>
      </c>
      <c r="B14" s="2">
        <v>10</v>
      </c>
      <c r="C14" s="8">
        <v>4.82963E-2</v>
      </c>
      <c r="D14" s="8">
        <v>5.2824900000000001E-2</v>
      </c>
      <c r="E14" s="8">
        <v>2.3715300000000002E-2</v>
      </c>
      <c r="F14" s="8">
        <v>8.5470000000000004E-2</v>
      </c>
      <c r="H14" t="str">
        <f t="shared" si="0"/>
        <v>0.05 (0.02, 0.09)</v>
      </c>
    </row>
    <row r="15" spans="1:8" x14ac:dyDescent="0.75">
      <c r="A15" s="1" t="s">
        <v>13</v>
      </c>
      <c r="B15" s="2">
        <v>10</v>
      </c>
      <c r="C15" s="8">
        <v>0.25015340000000003</v>
      </c>
      <c r="D15" s="8">
        <v>0.282169</v>
      </c>
      <c r="E15" s="8">
        <v>0.18095079999999999</v>
      </c>
      <c r="F15" s="8">
        <v>0.44003930000000002</v>
      </c>
      <c r="H15" t="str">
        <f t="shared" si="0"/>
        <v>0.28 (0.18, 0.44)</v>
      </c>
    </row>
    <row r="16" spans="1:8" x14ac:dyDescent="0.75">
      <c r="A16" s="1" t="s">
        <v>14</v>
      </c>
      <c r="B16" s="2">
        <v>10</v>
      </c>
      <c r="C16" s="8">
        <v>0.1983336</v>
      </c>
      <c r="D16" s="8">
        <v>0.19224469999999999</v>
      </c>
      <c r="E16" s="8">
        <v>0.14538000000000001</v>
      </c>
      <c r="F16" s="8">
        <v>0.22530729999999999</v>
      </c>
      <c r="H16" t="str">
        <f t="shared" si="0"/>
        <v>0.19 (0.15, 0.23)</v>
      </c>
    </row>
    <row r="17" spans="1:8" x14ac:dyDescent="0.75">
      <c r="A17" s="1" t="s">
        <v>15</v>
      </c>
      <c r="B17" s="2">
        <v>10</v>
      </c>
      <c r="C17" s="8">
        <v>0.18219730000000001</v>
      </c>
      <c r="D17" s="8">
        <v>0.1719733</v>
      </c>
      <c r="E17" s="8">
        <v>9.0336700000000006E-2</v>
      </c>
      <c r="F17" s="8">
        <v>0.23293849999999999</v>
      </c>
      <c r="H17" t="str">
        <f t="shared" si="0"/>
        <v>0.17 (0.09, 0.23)</v>
      </c>
    </row>
    <row r="18" spans="1:8" x14ac:dyDescent="0.75">
      <c r="A18" s="1" t="s">
        <v>16</v>
      </c>
      <c r="B18" s="2">
        <v>10</v>
      </c>
      <c r="C18" s="8">
        <v>0.24559710000000001</v>
      </c>
      <c r="D18" s="8">
        <v>0.2240123</v>
      </c>
      <c r="E18" s="8">
        <v>9.8082500000000003E-2</v>
      </c>
      <c r="F18" s="8">
        <v>0.31308350000000001</v>
      </c>
      <c r="H18" t="str">
        <f t="shared" si="0"/>
        <v>0.22 (0.10, 0.31)</v>
      </c>
    </row>
    <row r="19" spans="1:8" x14ac:dyDescent="0.75">
      <c r="A19" s="1" t="s">
        <v>17</v>
      </c>
      <c r="B19" s="2">
        <v>10</v>
      </c>
      <c r="C19" s="8">
        <v>0.48526809999999998</v>
      </c>
      <c r="D19" s="8">
        <v>0.44215959999999999</v>
      </c>
      <c r="E19" s="8">
        <v>0.12891179999999999</v>
      </c>
      <c r="F19" s="8">
        <v>0.68958680000000006</v>
      </c>
      <c r="H19" t="str">
        <f t="shared" si="0"/>
        <v>0.44 (0.13, 0.69)</v>
      </c>
    </row>
    <row r="20" spans="1:8" x14ac:dyDescent="0.75">
      <c r="A20" s="1" t="s">
        <v>18</v>
      </c>
      <c r="B20" s="2">
        <v>10</v>
      </c>
      <c r="C20" s="8">
        <v>1.2076999999999999E-2</v>
      </c>
      <c r="D20" s="8">
        <v>1.24428E-2</v>
      </c>
      <c r="E20" s="8">
        <v>2.7330000000000002E-3</v>
      </c>
      <c r="F20" s="8">
        <v>2.6982900000000001E-2</v>
      </c>
      <c r="H20" t="str">
        <f t="shared" si="0"/>
        <v>0.01 (0.00, 0.03)</v>
      </c>
    </row>
    <row r="21" spans="1:8" x14ac:dyDescent="0.75">
      <c r="A21" s="1" t="s">
        <v>19</v>
      </c>
      <c r="B21" s="2">
        <v>10</v>
      </c>
      <c r="C21" s="8">
        <v>0.31229649999999998</v>
      </c>
      <c r="D21" s="8">
        <v>0.36278690000000002</v>
      </c>
      <c r="E21" s="8">
        <v>0.1018824</v>
      </c>
      <c r="F21" s="8">
        <v>0.87593140000000003</v>
      </c>
      <c r="H21" t="str">
        <f t="shared" si="0"/>
        <v>0.36 (0.10, 0.88)</v>
      </c>
    </row>
    <row r="22" spans="1:8" x14ac:dyDescent="0.75">
      <c r="A22" s="1" t="s">
        <v>20</v>
      </c>
      <c r="B22" s="2">
        <v>10</v>
      </c>
      <c r="C22" s="8">
        <v>4.6256221999999996</v>
      </c>
      <c r="D22" s="8">
        <v>6.6430213</v>
      </c>
      <c r="E22" s="8">
        <v>1.5625</v>
      </c>
      <c r="F22" s="8">
        <v>14.314391799999999</v>
      </c>
      <c r="H22" t="str">
        <f t="shared" si="0"/>
        <v>6.64 (1.56, 14.31)</v>
      </c>
    </row>
    <row r="23" spans="1:8" x14ac:dyDescent="0.75">
      <c r="A23" s="1" t="s">
        <v>21</v>
      </c>
      <c r="B23" s="2">
        <v>10</v>
      </c>
      <c r="C23" s="8">
        <v>0.41116160000000002</v>
      </c>
      <c r="D23" s="8">
        <v>0.467669</v>
      </c>
      <c r="E23" s="8">
        <v>0.30808799999999997</v>
      </c>
      <c r="F23" s="8">
        <v>0.69159139999999997</v>
      </c>
      <c r="H23" t="str">
        <f t="shared" si="0"/>
        <v>0.47 (0.31, 0.69)</v>
      </c>
    </row>
    <row r="24" spans="1:8" x14ac:dyDescent="0.75">
      <c r="A24" s="1" t="s">
        <v>22</v>
      </c>
      <c r="B24" s="2">
        <v>10</v>
      </c>
      <c r="C24" s="8">
        <v>0.93475839999999999</v>
      </c>
      <c r="D24" s="8">
        <v>0.91069940000000005</v>
      </c>
      <c r="E24" s="8">
        <v>0.69321370000000004</v>
      </c>
      <c r="F24" s="8">
        <v>0.96752570000000004</v>
      </c>
      <c r="H24" t="str">
        <f t="shared" si="0"/>
        <v>0.91 (0.69, 0.97)</v>
      </c>
    </row>
    <row r="25" spans="1:8" x14ac:dyDescent="0.75">
      <c r="A25" s="1" t="s">
        <v>23</v>
      </c>
      <c r="B25" s="2">
        <v>10</v>
      </c>
      <c r="C25" s="8">
        <v>0.9377877</v>
      </c>
      <c r="D25" s="8">
        <v>0.9189891</v>
      </c>
      <c r="E25" s="8">
        <v>0.76430010000000004</v>
      </c>
      <c r="F25" s="8">
        <v>0.97547700000000004</v>
      </c>
      <c r="H25" t="str">
        <f t="shared" si="0"/>
        <v>0.92 (0.76, 0.98)</v>
      </c>
    </row>
    <row r="26" spans="1:8" x14ac:dyDescent="0.75">
      <c r="A26" s="1" t="s">
        <v>24</v>
      </c>
      <c r="B26" s="2">
        <v>10</v>
      </c>
      <c r="C26" s="8">
        <v>0.99512179999999995</v>
      </c>
      <c r="D26" s="8">
        <v>0.98923799999999995</v>
      </c>
      <c r="E26" s="8">
        <v>0.95371019999999995</v>
      </c>
      <c r="F26" s="8">
        <v>1</v>
      </c>
      <c r="H26" t="str">
        <f t="shared" si="0"/>
        <v>0.99 (0.95, 1.00)</v>
      </c>
    </row>
    <row r="27" spans="1:8" x14ac:dyDescent="0.75">
      <c r="A27" s="1" t="s">
        <v>25</v>
      </c>
      <c r="B27" s="2">
        <v>10</v>
      </c>
      <c r="C27" s="8">
        <v>1.1342715999999999</v>
      </c>
      <c r="D27" s="8">
        <v>1.2162275</v>
      </c>
      <c r="E27" s="8">
        <v>0.75369350000000002</v>
      </c>
      <c r="F27" s="8">
        <v>1.7535273</v>
      </c>
      <c r="H27" t="str">
        <f t="shared" si="0"/>
        <v>1.22 (0.75, 1.75)</v>
      </c>
    </row>
    <row r="28" spans="1:8" x14ac:dyDescent="0.75">
      <c r="A28" s="1" t="s">
        <v>26</v>
      </c>
      <c r="B28" s="2">
        <v>10</v>
      </c>
      <c r="C28" s="6">
        <v>104640.72</v>
      </c>
      <c r="D28" s="6">
        <v>105662.63</v>
      </c>
      <c r="E28" s="6">
        <v>19725.7</v>
      </c>
      <c r="F28" s="6">
        <v>193586.73</v>
      </c>
      <c r="H28" s="5" t="str">
        <f>TEXT(D28,"0") &amp; " (" &amp; TEXT(E28,"0") &amp; ", " &amp; TEXT(F28,"0") &amp; ")"</f>
        <v>105663 (19726, 193587)</v>
      </c>
    </row>
    <row r="29" spans="1:8" x14ac:dyDescent="0.75">
      <c r="A29" s="1" t="s">
        <v>27</v>
      </c>
      <c r="B29" s="2">
        <v>10</v>
      </c>
      <c r="C29" s="8">
        <v>2.38371E-2</v>
      </c>
      <c r="D29" s="8">
        <v>2.4023599999999999E-2</v>
      </c>
      <c r="E29" s="8">
        <v>4.6617000000000004E-3</v>
      </c>
      <c r="F29" s="8">
        <v>4.2734399999999999E-2</v>
      </c>
      <c r="H29" t="str">
        <f t="shared" si="0"/>
        <v>0.02 (0.00, 0.04)</v>
      </c>
    </row>
    <row r="30" spans="1:8" x14ac:dyDescent="0.75">
      <c r="A30" s="1" t="s">
        <v>28</v>
      </c>
      <c r="B30" s="2">
        <v>10</v>
      </c>
      <c r="C30" s="8">
        <v>3.6851700000000001E-2</v>
      </c>
      <c r="D30" s="8">
        <v>3.5236700000000003E-2</v>
      </c>
      <c r="E30" s="8">
        <v>1.3602599999999999E-2</v>
      </c>
      <c r="F30" s="8">
        <v>5.1058699999999999E-2</v>
      </c>
      <c r="H30" t="str">
        <f t="shared" si="0"/>
        <v>0.04 (0.01, 0.05)</v>
      </c>
    </row>
    <row r="31" spans="1:8" x14ac:dyDescent="0.75">
      <c r="A31" s="1" t="s">
        <v>29</v>
      </c>
      <c r="B31" s="2">
        <v>10</v>
      </c>
      <c r="C31" s="8">
        <v>6.9719537000000003</v>
      </c>
      <c r="D31" s="8">
        <v>6.9165317000000002</v>
      </c>
      <c r="E31" s="8">
        <v>3.1327340000000001</v>
      </c>
      <c r="F31" s="8">
        <v>9.9383528999999999</v>
      </c>
      <c r="H31" t="str">
        <f t="shared" si="0"/>
        <v>6.92 (3.13, 9.94)</v>
      </c>
    </row>
    <row r="32" spans="1:8" x14ac:dyDescent="0.75">
      <c r="A32" s="1" t="s">
        <v>30</v>
      </c>
      <c r="B32" s="2">
        <v>10</v>
      </c>
      <c r="C32" s="8">
        <v>6.5982299999999994E-2</v>
      </c>
      <c r="D32" s="8">
        <v>6.6167199999999995E-2</v>
      </c>
      <c r="E32" s="8">
        <v>3.6171300000000003E-2</v>
      </c>
      <c r="F32" s="8">
        <v>9.6670699999999998E-2</v>
      </c>
      <c r="H32" t="str">
        <f t="shared" si="0"/>
        <v>0.07 (0.04, 0.10)</v>
      </c>
    </row>
    <row r="33" spans="1:8" x14ac:dyDescent="0.75">
      <c r="A33" s="1" t="s">
        <v>31</v>
      </c>
      <c r="B33" s="2">
        <v>10</v>
      </c>
      <c r="C33" s="8">
        <v>0.17297999999999999</v>
      </c>
      <c r="D33" s="8">
        <v>0.17801149999999999</v>
      </c>
      <c r="E33" s="8">
        <v>0.13678850000000001</v>
      </c>
      <c r="F33" s="8">
        <v>0.23401340000000001</v>
      </c>
      <c r="H33" t="str">
        <f t="shared" si="0"/>
        <v>0.18 (0.14, 0.23)</v>
      </c>
    </row>
    <row r="34" spans="1:8" x14ac:dyDescent="0.75">
      <c r="A34" s="1" t="s">
        <v>32</v>
      </c>
      <c r="B34" s="2">
        <v>10</v>
      </c>
      <c r="C34" s="8">
        <v>0.2021936</v>
      </c>
      <c r="D34" s="8">
        <v>0.20454369999999999</v>
      </c>
      <c r="E34" s="8">
        <v>0.15707199999999999</v>
      </c>
      <c r="F34" s="8">
        <v>0.32470769999999999</v>
      </c>
      <c r="H34" t="str">
        <f t="shared" si="0"/>
        <v>0.20 (0.16, 0.32)</v>
      </c>
    </row>
    <row r="35" spans="1:8" x14ac:dyDescent="0.75">
      <c r="A35" s="1" t="s">
        <v>33</v>
      </c>
      <c r="B35" s="2">
        <v>10</v>
      </c>
      <c r="C35" s="8">
        <v>0.3229591</v>
      </c>
      <c r="D35" s="8">
        <v>0.31636769999999997</v>
      </c>
      <c r="E35" s="8">
        <v>0.23758170000000001</v>
      </c>
      <c r="F35" s="8">
        <v>0.35920249999999998</v>
      </c>
      <c r="H35" t="str">
        <f t="shared" si="0"/>
        <v>0.32 (0.24, 0.36)</v>
      </c>
    </row>
    <row r="36" spans="1:8" x14ac:dyDescent="0.75">
      <c r="A36" s="1" t="s">
        <v>34</v>
      </c>
      <c r="B36" s="2">
        <v>10</v>
      </c>
      <c r="C36" s="8">
        <v>0.23602989999999999</v>
      </c>
      <c r="D36" s="8">
        <v>0.2349099</v>
      </c>
      <c r="E36" s="8">
        <v>0.1283002</v>
      </c>
      <c r="F36" s="8">
        <v>0.28131879999999998</v>
      </c>
      <c r="H36" t="str">
        <f t="shared" si="0"/>
        <v>0.23 (0.13, 0.28)</v>
      </c>
    </row>
    <row r="37" spans="1:8" x14ac:dyDescent="0.75">
      <c r="A37" s="1" t="s">
        <v>35</v>
      </c>
      <c r="B37" s="2">
        <v>10</v>
      </c>
      <c r="C37" s="8">
        <v>0.36124060000000002</v>
      </c>
      <c r="D37" s="8">
        <v>0.35625770000000001</v>
      </c>
      <c r="E37" s="8">
        <v>0.31042570000000003</v>
      </c>
      <c r="F37" s="8">
        <v>0.40901969999999999</v>
      </c>
      <c r="H37" t="str">
        <f t="shared" si="0"/>
        <v>0.36 (0.31, 0.41)</v>
      </c>
    </row>
    <row r="38" spans="1:8" x14ac:dyDescent="0.75">
      <c r="A38" s="1" t="s">
        <v>36</v>
      </c>
      <c r="B38" s="2">
        <v>10</v>
      </c>
      <c r="C38" s="8">
        <v>0.47231679999999998</v>
      </c>
      <c r="D38" s="8">
        <v>0.47318329999999997</v>
      </c>
      <c r="E38" s="8">
        <v>0.41330050000000002</v>
      </c>
      <c r="F38" s="8">
        <v>0.51273979999999997</v>
      </c>
      <c r="H38" t="str">
        <f t="shared" si="0"/>
        <v>0.47 (0.41, 0.51)</v>
      </c>
    </row>
    <row r="39" spans="1:8" x14ac:dyDescent="0.75">
      <c r="A39" s="1" t="s">
        <v>37</v>
      </c>
      <c r="B39" s="2">
        <v>10</v>
      </c>
      <c r="C39" s="8">
        <v>0.115565</v>
      </c>
      <c r="D39" s="8">
        <v>0.12198199999999999</v>
      </c>
      <c r="E39" s="8">
        <v>8.9760300000000001E-2</v>
      </c>
      <c r="F39" s="8">
        <v>0.17916319999999999</v>
      </c>
      <c r="H39" t="str">
        <f t="shared" si="0"/>
        <v>0.12 (0.09, 0.18)</v>
      </c>
    </row>
    <row r="40" spans="1:8" x14ac:dyDescent="0.75">
      <c r="A40" s="1" t="s">
        <v>38</v>
      </c>
      <c r="B40" s="2">
        <v>10</v>
      </c>
      <c r="C40" s="8">
        <v>5.1878199999999999E-2</v>
      </c>
      <c r="D40" s="8">
        <v>4.8577000000000002E-2</v>
      </c>
      <c r="E40" s="8">
        <v>3.10648E-2</v>
      </c>
      <c r="F40" s="8">
        <v>6.31163E-2</v>
      </c>
      <c r="H40" t="str">
        <f t="shared" si="0"/>
        <v>0.05 (0.03, 0.06)</v>
      </c>
    </row>
    <row r="41" spans="1:8" x14ac:dyDescent="0.75">
      <c r="A41" s="1" t="s">
        <v>39</v>
      </c>
      <c r="B41" s="2">
        <v>10</v>
      </c>
      <c r="C41" s="8">
        <v>0.23217099999999999</v>
      </c>
      <c r="D41" s="8">
        <v>0.2467453</v>
      </c>
      <c r="E41" s="8">
        <v>0.1769319</v>
      </c>
      <c r="F41" s="8">
        <v>0.34338200000000002</v>
      </c>
      <c r="H41" t="str">
        <f t="shared" si="0"/>
        <v>0.25 (0.18, 0.34)</v>
      </c>
    </row>
    <row r="42" spans="1:8" x14ac:dyDescent="0.75">
      <c r="A42" s="1" t="s">
        <v>40</v>
      </c>
      <c r="B42" s="2">
        <v>10</v>
      </c>
      <c r="C42" s="8">
        <v>0.19438179999999999</v>
      </c>
      <c r="D42" s="8">
        <v>0.20093520000000001</v>
      </c>
      <c r="E42" s="8">
        <v>0.1446944</v>
      </c>
      <c r="F42" s="8">
        <v>0.27207439999999999</v>
      </c>
      <c r="H42" t="str">
        <f t="shared" si="0"/>
        <v>0.20 (0.14, 0.27)</v>
      </c>
    </row>
    <row r="43" spans="1:8" x14ac:dyDescent="0.75">
      <c r="A43" s="1" t="s">
        <v>41</v>
      </c>
      <c r="B43" s="2">
        <v>10</v>
      </c>
      <c r="C43" s="8">
        <v>0.17052890000000001</v>
      </c>
      <c r="D43" s="8">
        <v>0.1667264</v>
      </c>
      <c r="E43" s="8">
        <v>8.2465899999999995E-2</v>
      </c>
      <c r="F43" s="8">
        <v>0.221634</v>
      </c>
      <c r="H43" t="str">
        <f t="shared" si="0"/>
        <v>0.17 (0.08, 0.22)</v>
      </c>
    </row>
    <row r="44" spans="1:8" x14ac:dyDescent="0.75">
      <c r="A44" s="1" t="s">
        <v>42</v>
      </c>
      <c r="B44" s="2">
        <v>10</v>
      </c>
      <c r="C44" s="8">
        <v>0.26436539999999997</v>
      </c>
      <c r="D44" s="8">
        <v>0.2447686</v>
      </c>
      <c r="E44" s="8">
        <v>0.12854850000000001</v>
      </c>
      <c r="F44" s="8">
        <v>0.31132270000000001</v>
      </c>
      <c r="H44" t="str">
        <f t="shared" si="0"/>
        <v>0.24 (0.13, 0.31)</v>
      </c>
    </row>
    <row r="45" spans="1:8" x14ac:dyDescent="0.75">
      <c r="A45" s="1" t="s">
        <v>43</v>
      </c>
      <c r="B45" s="2">
        <v>10</v>
      </c>
      <c r="C45" s="8">
        <v>0.42117199999999999</v>
      </c>
      <c r="D45" s="8">
        <v>0.42565599999999998</v>
      </c>
      <c r="E45" s="8">
        <v>0.32979720000000001</v>
      </c>
      <c r="F45" s="8">
        <v>0.60158670000000003</v>
      </c>
      <c r="H45" t="str">
        <f t="shared" si="0"/>
        <v>0.43 (0.33, 0.60)</v>
      </c>
    </row>
    <row r="46" spans="1:8" x14ac:dyDescent="0.75">
      <c r="A46" s="1" t="s">
        <v>44</v>
      </c>
      <c r="B46" s="2">
        <v>10</v>
      </c>
      <c r="C46" s="8">
        <v>8.6417000000000004E-3</v>
      </c>
      <c r="D46" s="8">
        <v>8.2117000000000006E-3</v>
      </c>
      <c r="E46" s="8">
        <v>2.6042000000000001E-3</v>
      </c>
      <c r="F46" s="8">
        <v>1.23248E-2</v>
      </c>
      <c r="H46" t="str">
        <f t="shared" si="0"/>
        <v>0.01 (0.00, 0.01)</v>
      </c>
    </row>
    <row r="47" spans="1:8" x14ac:dyDescent="0.75">
      <c r="A47" s="1" t="s">
        <v>45</v>
      </c>
      <c r="B47" s="2">
        <v>10</v>
      </c>
      <c r="C47" s="8">
        <v>0</v>
      </c>
      <c r="D47" s="8">
        <v>0</v>
      </c>
      <c r="E47" s="8">
        <v>0</v>
      </c>
      <c r="F47" s="8">
        <v>0</v>
      </c>
      <c r="H47" t="str">
        <f t="shared" si="0"/>
        <v>0.00 (0.00, 0.00)</v>
      </c>
    </row>
    <row r="48" spans="1:8" x14ac:dyDescent="0.75">
      <c r="A48" s="1" t="s">
        <v>46</v>
      </c>
      <c r="B48" s="2">
        <v>10</v>
      </c>
      <c r="C48" s="8">
        <v>7.0467301999999998</v>
      </c>
      <c r="D48" s="8">
        <v>7.0665953000000004</v>
      </c>
      <c r="E48" s="8">
        <v>4.3697479000000001</v>
      </c>
      <c r="F48" s="8">
        <v>11.449785200000001</v>
      </c>
      <c r="H48" t="str">
        <f t="shared" si="0"/>
        <v>7.07 (4.37, 11.45)</v>
      </c>
    </row>
    <row r="49" spans="1:8" x14ac:dyDescent="0.75">
      <c r="A49" s="1" t="s">
        <v>47</v>
      </c>
      <c r="B49" s="2">
        <v>10</v>
      </c>
      <c r="C49" s="8">
        <v>0.51243019999999995</v>
      </c>
      <c r="D49" s="8">
        <v>0.50562479999999999</v>
      </c>
      <c r="E49" s="8">
        <v>0.33014080000000001</v>
      </c>
      <c r="F49" s="8">
        <v>0.6496788</v>
      </c>
      <c r="H49" t="str">
        <f t="shared" si="0"/>
        <v>0.51 (0.33, 0.65)</v>
      </c>
    </row>
    <row r="50" spans="1:8" x14ac:dyDescent="0.75">
      <c r="A50" s="1" t="s">
        <v>48</v>
      </c>
      <c r="B50" s="2">
        <v>10</v>
      </c>
      <c r="C50" s="8">
        <v>0.9169349</v>
      </c>
      <c r="D50" s="8">
        <v>0.91589790000000004</v>
      </c>
      <c r="E50" s="8">
        <v>0.83152179999999998</v>
      </c>
      <c r="F50" s="8">
        <v>0.97331869999999998</v>
      </c>
      <c r="H50" t="str">
        <f t="shared" si="0"/>
        <v>0.92 (0.83, 0.97)</v>
      </c>
    </row>
    <row r="51" spans="1:8" x14ac:dyDescent="0.75">
      <c r="A51" s="1" t="s">
        <v>49</v>
      </c>
      <c r="B51" s="2">
        <v>10</v>
      </c>
      <c r="C51" s="8">
        <v>0.90353159999999999</v>
      </c>
      <c r="D51" s="8">
        <v>0.89400250000000003</v>
      </c>
      <c r="E51" s="8">
        <v>0.72088229999999998</v>
      </c>
      <c r="F51" s="8">
        <v>0.9926471</v>
      </c>
      <c r="H51" t="str">
        <f t="shared" si="0"/>
        <v>0.89 (0.72, 0.99)</v>
      </c>
    </row>
    <row r="52" spans="1:8" x14ac:dyDescent="0.75">
      <c r="A52" s="1" t="s">
        <v>50</v>
      </c>
      <c r="B52" s="2">
        <v>10</v>
      </c>
      <c r="C52" s="8">
        <v>0.9781938</v>
      </c>
      <c r="D52" s="8">
        <v>0.97163310000000003</v>
      </c>
      <c r="E52" s="8">
        <v>0.93325270000000005</v>
      </c>
      <c r="F52" s="8">
        <v>1</v>
      </c>
      <c r="H52" t="str">
        <f t="shared" si="0"/>
        <v>0.97 (0.93, 1.00)</v>
      </c>
    </row>
    <row r="53" spans="1:8" x14ac:dyDescent="0.75">
      <c r="A53" s="1" t="s">
        <v>51</v>
      </c>
      <c r="B53" s="2">
        <v>10</v>
      </c>
      <c r="C53" s="8">
        <v>0.21413599999999999</v>
      </c>
      <c r="D53" s="8">
        <v>0.21145729999999999</v>
      </c>
      <c r="E53" s="8">
        <v>0.1060873</v>
      </c>
      <c r="F53" s="8">
        <v>0.30749579999999999</v>
      </c>
      <c r="H53" t="str">
        <f t="shared" si="0"/>
        <v>0.21 (0.11, 0.31)</v>
      </c>
    </row>
    <row r="54" spans="1:8" x14ac:dyDescent="0.75">
      <c r="A54" s="3"/>
    </row>
    <row r="55" spans="1:8" x14ac:dyDescent="0.75">
      <c r="A55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8F17-725C-4C3C-B9AE-AD5F1C02F433}">
  <dimension ref="A1:D54"/>
  <sheetViews>
    <sheetView tabSelected="1" workbookViewId="0">
      <selection activeCell="B33" sqref="B33"/>
    </sheetView>
  </sheetViews>
  <sheetFormatPr defaultRowHeight="15" customHeight="1" x14ac:dyDescent="0.75"/>
  <cols>
    <col min="1" max="1" width="23.5" customWidth="1"/>
    <col min="2" max="2" width="43.08984375" bestFit="1" customWidth="1"/>
    <col min="3" max="3" width="20.58984375" customWidth="1"/>
  </cols>
  <sheetData>
    <row r="1" spans="1:4" ht="15" customHeight="1" x14ac:dyDescent="0.75">
      <c r="C1" t="s">
        <v>84</v>
      </c>
      <c r="D1" t="s">
        <v>85</v>
      </c>
    </row>
    <row r="2" spans="1:4" ht="15" customHeight="1" x14ac:dyDescent="0.75">
      <c r="C2" t="s">
        <v>86</v>
      </c>
      <c r="D2" t="s">
        <v>86</v>
      </c>
    </row>
    <row r="3" spans="1:4" ht="15" customHeight="1" x14ac:dyDescent="0.75">
      <c r="A3" s="1" t="s">
        <v>0</v>
      </c>
      <c r="B3" t="s">
        <v>58</v>
      </c>
      <c r="C3" t="str">
        <f>raw!H2</f>
        <v>56123 (16332, 151221)</v>
      </c>
      <c r="D3" s="5" t="str">
        <f>raw!H28</f>
        <v>105663 (19726, 193587)</v>
      </c>
    </row>
    <row r="4" spans="1:4" ht="15" customHeight="1" x14ac:dyDescent="0.75">
      <c r="A4" s="1" t="s">
        <v>1</v>
      </c>
      <c r="B4" t="s">
        <v>60</v>
      </c>
      <c r="C4" t="str">
        <f>raw!H3</f>
        <v>0.01 (0.00, 0.03)</v>
      </c>
      <c r="D4" s="5" t="str">
        <f>raw!H29</f>
        <v>0.02 (0.00, 0.04)</v>
      </c>
    </row>
    <row r="5" spans="1:4" ht="15" customHeight="1" x14ac:dyDescent="0.75">
      <c r="A5" s="1" t="s">
        <v>2</v>
      </c>
      <c r="B5" t="s">
        <v>59</v>
      </c>
      <c r="C5" t="str">
        <f>raw!H4</f>
        <v>0.02 (0.02, 0.05)</v>
      </c>
      <c r="D5" s="5" t="str">
        <f>raw!H30</f>
        <v>0.04 (0.01, 0.05)</v>
      </c>
    </row>
    <row r="6" spans="1:4" ht="15" customHeight="1" x14ac:dyDescent="0.75">
      <c r="A6" s="1" t="s">
        <v>3</v>
      </c>
      <c r="B6" t="s">
        <v>61</v>
      </c>
      <c r="C6" t="str">
        <f>raw!H5</f>
        <v>5.98 (2.98, 9.25)</v>
      </c>
      <c r="D6" s="5" t="str">
        <f>raw!H31</f>
        <v>6.92 (3.13, 9.94)</v>
      </c>
    </row>
    <row r="7" spans="1:4" ht="15" customHeight="1" x14ac:dyDescent="0.75">
      <c r="A7" s="1" t="s">
        <v>4</v>
      </c>
      <c r="B7" t="s">
        <v>62</v>
      </c>
      <c r="C7" t="str">
        <f>raw!H6</f>
        <v>0.07 (0.04, 0.11)</v>
      </c>
      <c r="D7" s="5" t="str">
        <f>raw!H32</f>
        <v>0.07 (0.04, 0.10)</v>
      </c>
    </row>
    <row r="8" spans="1:4" ht="15" customHeight="1" x14ac:dyDescent="0.75">
      <c r="A8" s="1" t="s">
        <v>5</v>
      </c>
      <c r="B8" t="s">
        <v>63</v>
      </c>
      <c r="C8" t="str">
        <f>raw!H7</f>
        <v>0.20 (0.15, 0.29)</v>
      </c>
      <c r="D8" s="5" t="str">
        <f>raw!H33</f>
        <v>0.18 (0.14, 0.23)</v>
      </c>
    </row>
    <row r="9" spans="1:4" ht="15" customHeight="1" x14ac:dyDescent="0.75">
      <c r="A9" s="1" t="s">
        <v>6</v>
      </c>
      <c r="B9" t="s">
        <v>64</v>
      </c>
      <c r="C9" t="str">
        <f>raw!H8</f>
        <v>0.19 (0.15, 0.22)</v>
      </c>
      <c r="D9" s="5" t="str">
        <f>raw!H34</f>
        <v>0.20 (0.16, 0.32)</v>
      </c>
    </row>
    <row r="10" spans="1:4" ht="15" customHeight="1" x14ac:dyDescent="0.75">
      <c r="A10" s="1" t="s">
        <v>7</v>
      </c>
      <c r="B10" t="s">
        <v>66</v>
      </c>
      <c r="C10" t="str">
        <f>raw!H9</f>
        <v>0.31 (0.28, 0.35)</v>
      </c>
      <c r="D10" s="5" t="str">
        <f>raw!H35</f>
        <v>0.32 (0.24, 0.36)</v>
      </c>
    </row>
    <row r="11" spans="1:4" ht="15" customHeight="1" x14ac:dyDescent="0.75">
      <c r="A11" s="1" t="s">
        <v>8</v>
      </c>
      <c r="B11" t="s">
        <v>65</v>
      </c>
      <c r="C11" t="str">
        <f>raw!H10</f>
        <v>0.23 (0.17, 0.28)</v>
      </c>
      <c r="D11" s="5" t="str">
        <f>raw!H36</f>
        <v>0.23 (0.13, 0.28)</v>
      </c>
    </row>
    <row r="12" spans="1:4" ht="15" customHeight="1" x14ac:dyDescent="0.75">
      <c r="A12" s="1" t="s">
        <v>9</v>
      </c>
      <c r="B12" t="s">
        <v>67</v>
      </c>
      <c r="C12" t="str">
        <f>raw!H11</f>
        <v>0.34 (0.19, 0.42)</v>
      </c>
      <c r="D12" s="5" t="str">
        <f>raw!H37</f>
        <v>0.36 (0.31, 0.41)</v>
      </c>
    </row>
    <row r="13" spans="1:4" ht="15" customHeight="1" x14ac:dyDescent="0.75">
      <c r="A13" s="1" t="s">
        <v>10</v>
      </c>
      <c r="B13" t="s">
        <v>68</v>
      </c>
      <c r="C13" t="str">
        <f>raw!H12</f>
        <v>0.47 (0.40, 0.54)</v>
      </c>
      <c r="D13" s="5" t="str">
        <f>raw!H38</f>
        <v>0.47 (0.41, 0.51)</v>
      </c>
    </row>
    <row r="14" spans="1:4" ht="15" customHeight="1" x14ac:dyDescent="0.75">
      <c r="A14" s="1" t="s">
        <v>11</v>
      </c>
      <c r="B14" t="s">
        <v>69</v>
      </c>
      <c r="C14" t="str">
        <f>raw!H13</f>
        <v>0.14 (0.09, 0.20)</v>
      </c>
      <c r="D14" s="5" t="str">
        <f>raw!H39</f>
        <v>0.12 (0.09, 0.18)</v>
      </c>
    </row>
    <row r="15" spans="1:4" ht="15" customHeight="1" x14ac:dyDescent="0.75">
      <c r="A15" s="1" t="s">
        <v>12</v>
      </c>
      <c r="B15" t="s">
        <v>70</v>
      </c>
      <c r="C15" t="str">
        <f>raw!H14</f>
        <v>0.05 (0.02, 0.09)</v>
      </c>
      <c r="D15" s="5" t="str">
        <f>raw!H40</f>
        <v>0.05 (0.03, 0.06)</v>
      </c>
    </row>
    <row r="16" spans="1:4" ht="15" customHeight="1" x14ac:dyDescent="0.75">
      <c r="A16" s="1" t="s">
        <v>13</v>
      </c>
      <c r="B16" t="s">
        <v>71</v>
      </c>
      <c r="C16" t="str">
        <f>raw!H15</f>
        <v>0.28 (0.18, 0.44)</v>
      </c>
      <c r="D16" s="5" t="str">
        <f>raw!H41</f>
        <v>0.25 (0.18, 0.34)</v>
      </c>
    </row>
    <row r="17" spans="1:4" ht="15" customHeight="1" x14ac:dyDescent="0.75">
      <c r="A17" s="1" t="s">
        <v>14</v>
      </c>
      <c r="B17" t="s">
        <v>72</v>
      </c>
      <c r="C17" t="str">
        <f>raw!H16</f>
        <v>0.19 (0.15, 0.23)</v>
      </c>
      <c r="D17" s="5" t="str">
        <f>raw!H42</f>
        <v>0.20 (0.14, 0.27)</v>
      </c>
    </row>
    <row r="18" spans="1:4" ht="15" customHeight="1" x14ac:dyDescent="0.75">
      <c r="A18" s="1" t="s">
        <v>15</v>
      </c>
      <c r="B18" t="s">
        <v>73</v>
      </c>
      <c r="C18" t="str">
        <f>raw!H17</f>
        <v>0.17 (0.09, 0.23)</v>
      </c>
      <c r="D18" s="5" t="str">
        <f>raw!H43</f>
        <v>0.17 (0.08, 0.22)</v>
      </c>
    </row>
    <row r="19" spans="1:4" ht="15" customHeight="1" x14ac:dyDescent="0.75">
      <c r="A19" s="1" t="s">
        <v>16</v>
      </c>
      <c r="B19" t="s">
        <v>74</v>
      </c>
      <c r="C19" t="str">
        <f>raw!H18</f>
        <v>0.22 (0.10, 0.31)</v>
      </c>
      <c r="D19" s="5" t="str">
        <f>raw!H44</f>
        <v>0.24 (0.13, 0.31)</v>
      </c>
    </row>
    <row r="20" spans="1:4" ht="15" customHeight="1" x14ac:dyDescent="0.75">
      <c r="A20" s="1" t="s">
        <v>17</v>
      </c>
      <c r="B20" t="s">
        <v>75</v>
      </c>
      <c r="C20" t="str">
        <f>raw!H19</f>
        <v>0.44 (0.13, 0.69)</v>
      </c>
      <c r="D20" s="5" t="str">
        <f>raw!H45</f>
        <v>0.43 (0.33, 0.60)</v>
      </c>
    </row>
    <row r="21" spans="1:4" ht="15" customHeight="1" x14ac:dyDescent="0.75">
      <c r="A21" s="1" t="s">
        <v>18</v>
      </c>
      <c r="B21" t="s">
        <v>76</v>
      </c>
      <c r="C21" t="str">
        <f>raw!H20</f>
        <v>0.01 (0.00, 0.03)</v>
      </c>
      <c r="D21" s="5" t="str">
        <f>raw!H46</f>
        <v>0.01 (0.00, 0.01)</v>
      </c>
    </row>
    <row r="22" spans="1:4" ht="15" customHeight="1" x14ac:dyDescent="0.75">
      <c r="A22" s="1" t="s">
        <v>19</v>
      </c>
      <c r="B22" t="s">
        <v>77</v>
      </c>
      <c r="C22" t="str">
        <f>raw!H21</f>
        <v>0.36 (0.10, 0.88)</v>
      </c>
      <c r="D22" s="5" t="str">
        <f>raw!H47</f>
        <v>0.00 (0.00, 0.00)</v>
      </c>
    </row>
    <row r="23" spans="1:4" ht="15" customHeight="1" x14ac:dyDescent="0.75">
      <c r="A23" s="1" t="s">
        <v>20</v>
      </c>
      <c r="B23" t="s">
        <v>78</v>
      </c>
      <c r="C23" t="str">
        <f>raw!H22</f>
        <v>6.64 (1.56, 14.31)</v>
      </c>
      <c r="D23" s="5" t="str">
        <f>raw!H48</f>
        <v>7.07 (4.37, 11.45)</v>
      </c>
    </row>
    <row r="24" spans="1:4" ht="15" customHeight="1" x14ac:dyDescent="0.75">
      <c r="A24" s="1" t="s">
        <v>21</v>
      </c>
      <c r="B24" t="s">
        <v>79</v>
      </c>
      <c r="C24" t="str">
        <f>raw!H23</f>
        <v>0.47 (0.31, 0.69)</v>
      </c>
      <c r="D24" s="5" t="str">
        <f>raw!H49</f>
        <v>0.51 (0.33, 0.65)</v>
      </c>
    </row>
    <row r="25" spans="1:4" ht="15" customHeight="1" x14ac:dyDescent="0.75">
      <c r="A25" s="1" t="s">
        <v>22</v>
      </c>
      <c r="B25" t="s">
        <v>80</v>
      </c>
      <c r="C25" t="str">
        <f>raw!H24</f>
        <v>0.91 (0.69, 0.97)</v>
      </c>
      <c r="D25" s="5" t="str">
        <f>raw!H50</f>
        <v>0.92 (0.83, 0.97)</v>
      </c>
    </row>
    <row r="26" spans="1:4" ht="15" customHeight="1" x14ac:dyDescent="0.75">
      <c r="A26" s="1" t="s">
        <v>23</v>
      </c>
      <c r="B26" t="s">
        <v>81</v>
      </c>
      <c r="C26" t="str">
        <f>raw!H25</f>
        <v>0.92 (0.76, 0.98)</v>
      </c>
      <c r="D26" s="5" t="str">
        <f>raw!H51</f>
        <v>0.89 (0.72, 0.99)</v>
      </c>
    </row>
    <row r="27" spans="1:4" ht="15" customHeight="1" x14ac:dyDescent="0.75">
      <c r="A27" s="1" t="s">
        <v>24</v>
      </c>
      <c r="B27" t="s">
        <v>82</v>
      </c>
      <c r="C27" t="str">
        <f>raw!H26</f>
        <v>0.99 (0.95, 1.00)</v>
      </c>
      <c r="D27" s="5" t="str">
        <f>raw!H52</f>
        <v>0.97 (0.93, 1.00)</v>
      </c>
    </row>
    <row r="28" spans="1:4" ht="15" customHeight="1" x14ac:dyDescent="0.75">
      <c r="A28" s="1" t="s">
        <v>25</v>
      </c>
      <c r="B28" t="s">
        <v>83</v>
      </c>
      <c r="C28" t="str">
        <f>raw!H27</f>
        <v>1.22 (0.75, 1.75)</v>
      </c>
      <c r="D28" s="5" t="str">
        <f>raw!H53</f>
        <v>0.21 (0.11, 0.31)</v>
      </c>
    </row>
    <row r="29" spans="1:4" ht="15" customHeight="1" x14ac:dyDescent="0.75">
      <c r="A29" s="1"/>
    </row>
    <row r="30" spans="1:4" ht="15" customHeight="1" x14ac:dyDescent="0.75">
      <c r="A30" s="1"/>
    </row>
    <row r="31" spans="1:4" ht="15" customHeight="1" x14ac:dyDescent="0.75">
      <c r="A31" s="1"/>
    </row>
    <row r="32" spans="1:4" ht="15" customHeight="1" x14ac:dyDescent="0.75">
      <c r="A32" s="1"/>
    </row>
    <row r="33" spans="1:1" ht="15" customHeight="1" x14ac:dyDescent="0.75">
      <c r="A33" s="1"/>
    </row>
    <row r="34" spans="1:1" ht="15" customHeight="1" x14ac:dyDescent="0.75">
      <c r="A34" s="1"/>
    </row>
    <row r="35" spans="1:1" ht="15" customHeight="1" x14ac:dyDescent="0.75">
      <c r="A35" s="1"/>
    </row>
    <row r="36" spans="1:1" ht="15" customHeight="1" x14ac:dyDescent="0.75">
      <c r="A36" s="1"/>
    </row>
    <row r="37" spans="1:1" ht="15" customHeight="1" x14ac:dyDescent="0.75">
      <c r="A37" s="1"/>
    </row>
    <row r="38" spans="1:1" ht="15" customHeight="1" x14ac:dyDescent="0.75">
      <c r="A38" s="1"/>
    </row>
    <row r="39" spans="1:1" ht="15" customHeight="1" x14ac:dyDescent="0.75">
      <c r="A39" s="1"/>
    </row>
    <row r="40" spans="1:1" ht="15" customHeight="1" x14ac:dyDescent="0.75">
      <c r="A40" s="1"/>
    </row>
    <row r="41" spans="1:1" ht="15" customHeight="1" x14ac:dyDescent="0.75">
      <c r="A41" s="1"/>
    </row>
    <row r="42" spans="1:1" ht="15" customHeight="1" x14ac:dyDescent="0.75">
      <c r="A42" s="1"/>
    </row>
    <row r="43" spans="1:1" ht="15" customHeight="1" x14ac:dyDescent="0.75">
      <c r="A43" s="1"/>
    </row>
    <row r="44" spans="1:1" ht="15" customHeight="1" x14ac:dyDescent="0.75">
      <c r="A44" s="1"/>
    </row>
    <row r="45" spans="1:1" ht="15" customHeight="1" x14ac:dyDescent="0.75">
      <c r="A45" s="1"/>
    </row>
    <row r="46" spans="1:1" ht="15" customHeight="1" x14ac:dyDescent="0.75">
      <c r="A46" s="1"/>
    </row>
    <row r="47" spans="1:1" ht="15" customHeight="1" x14ac:dyDescent="0.75">
      <c r="A47" s="1"/>
    </row>
    <row r="48" spans="1:1" ht="15" customHeight="1" x14ac:dyDescent="0.75">
      <c r="A48" s="1"/>
    </row>
    <row r="49" spans="1:1" ht="15" customHeight="1" x14ac:dyDescent="0.75">
      <c r="A49" s="1"/>
    </row>
    <row r="50" spans="1:1" ht="15" customHeight="1" x14ac:dyDescent="0.75">
      <c r="A50" s="1"/>
    </row>
    <row r="51" spans="1:1" ht="15" customHeight="1" x14ac:dyDescent="0.75">
      <c r="A51" s="1"/>
    </row>
    <row r="52" spans="1:1" ht="15" customHeight="1" x14ac:dyDescent="0.75">
      <c r="A52" s="1"/>
    </row>
    <row r="53" spans="1:1" ht="15" customHeight="1" x14ac:dyDescent="0.75">
      <c r="A53" s="1"/>
    </row>
    <row r="54" spans="1:1" ht="15" customHeight="1" x14ac:dyDescent="0.75">
      <c r="A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Loveleen Bansi- Matharu</dc:creator>
  <cp:lastModifiedBy>Loveleen Bansi- Matharu</cp:lastModifiedBy>
  <dcterms:created xsi:type="dcterms:W3CDTF">2026-06-29T14:24:12Z</dcterms:created>
  <dcterms:modified xsi:type="dcterms:W3CDTF">2026-06-29T16:15:44Z</dcterms:modified>
</cp:coreProperties>
</file>